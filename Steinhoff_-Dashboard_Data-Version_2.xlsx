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https://ffdairy-my.sharepoint.com/personal/sibongiles_fairfield_co_za/Documents/Desktop/"/>
    </mc:Choice>
  </mc:AlternateContent>
  <xr:revisionPtr revIDLastSave="56" documentId="8_{C386AFB0-61B5-4302-AE50-265EBAFB0F1B}" xr6:coauthVersionLast="47" xr6:coauthVersionMax="47" xr10:uidLastSave="{9CCF4E6B-868A-4188-8AD9-B31F5105DC33}"/>
  <bookViews>
    <workbookView xWindow="-108" yWindow="-108" windowWidth="23256" windowHeight="13896" tabRatio="500" firstSheet="2" activeTab="2" xr2:uid="{00000000-000D-0000-FFFF-FFFF00000000}"/>
  </bookViews>
  <sheets>
    <sheet name="Income Statement" sheetId="3" r:id="rId1"/>
    <sheet name="Financial Position" sheetId="4" r:id="rId2"/>
    <sheet name="Cash Flow" sheetId="6" r:id="rId3"/>
    <sheet name="Ratios" sheetId="5" r:id="rId4"/>
    <sheet name="RedFlags_Timeline" sheetId="7" r:id="rId5"/>
    <sheet name="Distress_Models" sheetId="8" r:id="rId6"/>
    <sheet name="KPI's" sheetId="9" r:id="rId7"/>
    <sheet name="SharePrice_Data" sheetId="10" r:id="rId8"/>
    <sheet name="Forecast_5Y" sheetId="11" r:id="rId9"/>
    <sheet name="Valuation" sheetId="12" r:id="rId10"/>
    <sheet name="Dashboard" sheetId="2"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1" i="12" l="1"/>
  <c r="B33" i="12"/>
  <c r="B28" i="12"/>
  <c r="B10" i="12"/>
  <c r="B8" i="12"/>
  <c r="B11" i="12" s="1"/>
  <c r="I20" i="11"/>
  <c r="H20" i="11"/>
  <c r="B20" i="11"/>
  <c r="I19" i="11"/>
  <c r="H19" i="11"/>
  <c r="I15" i="11"/>
  <c r="H15" i="11"/>
  <c r="I13" i="11"/>
  <c r="H13" i="11"/>
  <c r="B13" i="11"/>
  <c r="B14" i="11" s="1"/>
  <c r="B15" i="11" s="1"/>
  <c r="I12" i="11"/>
  <c r="H12" i="11"/>
  <c r="B12" i="11"/>
  <c r="C12" i="11" s="1"/>
  <c r="G9" i="9"/>
  <c r="G6" i="9"/>
  <c r="F6" i="9"/>
  <c r="G4" i="9"/>
  <c r="E4" i="9"/>
  <c r="D4" i="9"/>
  <c r="C4" i="9"/>
  <c r="C31" i="8"/>
  <c r="G28" i="8"/>
  <c r="G34" i="8" s="1"/>
  <c r="F28" i="8"/>
  <c r="G27" i="8"/>
  <c r="G33" i="8" s="1"/>
  <c r="F27" i="8"/>
  <c r="G26" i="8"/>
  <c r="F26" i="8"/>
  <c r="E26" i="8"/>
  <c r="D26" i="8"/>
  <c r="E31" i="8" s="1"/>
  <c r="C26" i="8"/>
  <c r="D31" i="8" s="1"/>
  <c r="B26" i="8"/>
  <c r="G25" i="8"/>
  <c r="G32" i="8" s="1"/>
  <c r="F25" i="8"/>
  <c r="E25" i="8"/>
  <c r="F32" i="8" s="1"/>
  <c r="D25" i="8"/>
  <c r="D32" i="8" s="1"/>
  <c r="C25" i="8"/>
  <c r="B25" i="8"/>
  <c r="G24" i="8"/>
  <c r="F24" i="8"/>
  <c r="E24" i="8"/>
  <c r="D24" i="8"/>
  <c r="C24" i="8"/>
  <c r="B24" i="8"/>
  <c r="G13" i="8"/>
  <c r="F13" i="8"/>
  <c r="G12" i="8"/>
  <c r="F12" i="8"/>
  <c r="F14" i="8" s="1"/>
  <c r="E12" i="8"/>
  <c r="C12" i="8"/>
  <c r="B12" i="8"/>
  <c r="G10" i="8"/>
  <c r="G11" i="8" s="1"/>
  <c r="F10" i="8"/>
  <c r="F11" i="8" s="1"/>
  <c r="E10" i="8"/>
  <c r="D10" i="8"/>
  <c r="C10" i="8"/>
  <c r="B10" i="8"/>
  <c r="G9" i="8"/>
  <c r="G8" i="8"/>
  <c r="F8" i="8"/>
  <c r="E8" i="8"/>
  <c r="D8" i="8"/>
  <c r="C8" i="8"/>
  <c r="B8" i="8"/>
  <c r="G6" i="8"/>
  <c r="F6" i="8"/>
  <c r="F9" i="8" s="1"/>
  <c r="B6" i="8"/>
  <c r="G5" i="8"/>
  <c r="G7" i="8" s="1"/>
  <c r="F5" i="8"/>
  <c r="F7" i="8" s="1"/>
  <c r="D129" i="5"/>
  <c r="G11" i="2" s="1"/>
  <c r="C129" i="5"/>
  <c r="B129" i="5"/>
  <c r="D128" i="5"/>
  <c r="F11" i="2" s="1"/>
  <c r="C128" i="5"/>
  <c r="B128" i="5"/>
  <c r="B127" i="5"/>
  <c r="B126" i="5"/>
  <c r="B125" i="5"/>
  <c r="D124" i="5"/>
  <c r="C124" i="5"/>
  <c r="B124" i="5"/>
  <c r="B123" i="5"/>
  <c r="B119" i="5"/>
  <c r="B118" i="5"/>
  <c r="B107" i="5"/>
  <c r="G7" i="9" s="1"/>
  <c r="B106" i="5"/>
  <c r="F7" i="9" s="1"/>
  <c r="B105" i="5"/>
  <c r="E7" i="9" s="1"/>
  <c r="B104" i="5"/>
  <c r="D7" i="9" s="1"/>
  <c r="B103" i="5"/>
  <c r="B97" i="5"/>
  <c r="G7" i="2" s="1"/>
  <c r="B96" i="5"/>
  <c r="B85" i="5"/>
  <c r="B84" i="5"/>
  <c r="B21" i="2" s="1"/>
  <c r="B83" i="5"/>
  <c r="B82" i="5"/>
  <c r="B81" i="5"/>
  <c r="B80" i="5"/>
  <c r="B73" i="5"/>
  <c r="B72" i="5"/>
  <c r="B71" i="5"/>
  <c r="B70" i="5"/>
  <c r="B69" i="5"/>
  <c r="B68" i="5"/>
  <c r="D64" i="5"/>
  <c r="G5" i="9" s="1"/>
  <c r="C64" i="5"/>
  <c r="B64" i="5"/>
  <c r="D63" i="5"/>
  <c r="F5" i="9" s="1"/>
  <c r="C63" i="5"/>
  <c r="B63" i="5"/>
  <c r="D62" i="5"/>
  <c r="E5" i="9" s="1"/>
  <c r="C62" i="5"/>
  <c r="B62" i="5"/>
  <c r="D61" i="5"/>
  <c r="D5" i="9" s="1"/>
  <c r="C61" i="5"/>
  <c r="B61" i="5"/>
  <c r="D60" i="5"/>
  <c r="C5" i="9" s="1"/>
  <c r="C60" i="5"/>
  <c r="B60" i="5"/>
  <c r="D59" i="5"/>
  <c r="B5" i="9" s="1"/>
  <c r="C59" i="5"/>
  <c r="B59" i="5"/>
  <c r="B46" i="5"/>
  <c r="B9" i="9" s="1"/>
  <c r="D39" i="5"/>
  <c r="C39" i="5"/>
  <c r="B39" i="5"/>
  <c r="B51" i="5" s="1"/>
  <c r="C19" i="2" s="1"/>
  <c r="D38" i="5"/>
  <c r="C38" i="5"/>
  <c r="B38" i="5"/>
  <c r="B50" i="5" s="1"/>
  <c r="F37" i="5"/>
  <c r="B37" i="5"/>
  <c r="F36" i="5"/>
  <c r="C36" i="5"/>
  <c r="B36" i="5"/>
  <c r="B48" i="5" s="1"/>
  <c r="F35" i="5"/>
  <c r="B35" i="5"/>
  <c r="F34" i="5"/>
  <c r="B34" i="5"/>
  <c r="F33" i="5"/>
  <c r="C33" i="5"/>
  <c r="B33" i="5"/>
  <c r="D33" i="5" s="1"/>
  <c r="B25" i="5"/>
  <c r="C25" i="5" s="1"/>
  <c r="B24" i="5"/>
  <c r="C24" i="5" s="1"/>
  <c r="C10" i="5"/>
  <c r="D10" i="5" s="1"/>
  <c r="B10" i="5"/>
  <c r="C9" i="5"/>
  <c r="B9" i="5"/>
  <c r="D9" i="5" s="1"/>
  <c r="B16" i="2" s="1"/>
  <c r="C8" i="5"/>
  <c r="C4" i="5"/>
  <c r="H57" i="4"/>
  <c r="G57" i="4"/>
  <c r="F57" i="4"/>
  <c r="C57" i="4"/>
  <c r="B57" i="4"/>
  <c r="C56" i="4"/>
  <c r="B56" i="4"/>
  <c r="H54" i="4"/>
  <c r="H53" i="4"/>
  <c r="G53" i="4"/>
  <c r="C5" i="5" s="1"/>
  <c r="F53" i="4"/>
  <c r="C6" i="5" s="1"/>
  <c r="D53" i="4"/>
  <c r="D57" i="4" s="1"/>
  <c r="E51" i="4"/>
  <c r="E53" i="4" s="1"/>
  <c r="C7" i="5" s="1"/>
  <c r="D51" i="4"/>
  <c r="E42" i="4"/>
  <c r="D42" i="4"/>
  <c r="H33" i="4"/>
  <c r="H35" i="4" s="1"/>
  <c r="G33" i="4"/>
  <c r="G35" i="4" s="1"/>
  <c r="F33" i="4"/>
  <c r="F35" i="4" s="1"/>
  <c r="E33" i="4"/>
  <c r="E35" i="4" s="1"/>
  <c r="D12" i="8" s="1"/>
  <c r="D33" i="4"/>
  <c r="D35" i="4" s="1"/>
  <c r="B30" i="4"/>
  <c r="G25" i="4"/>
  <c r="B20" i="5" s="1"/>
  <c r="C20" i="5" s="1"/>
  <c r="F25" i="4"/>
  <c r="B21" i="5" s="1"/>
  <c r="C21" i="5" s="1"/>
  <c r="E25" i="4"/>
  <c r="D25" i="4"/>
  <c r="H23" i="4"/>
  <c r="G23" i="4"/>
  <c r="G26" i="4" s="1"/>
  <c r="B92" i="5" s="1"/>
  <c r="F23" i="4"/>
  <c r="E23" i="4"/>
  <c r="D23" i="4"/>
  <c r="H14" i="4"/>
  <c r="G14" i="4"/>
  <c r="F14" i="4"/>
  <c r="F26" i="4" s="1"/>
  <c r="C6" i="8" s="1"/>
  <c r="E14" i="4"/>
  <c r="E26" i="4" s="1"/>
  <c r="D6" i="8" s="1"/>
  <c r="D14" i="4"/>
  <c r="D26" i="4" s="1"/>
  <c r="C21" i="2"/>
  <c r="C17" i="2"/>
  <c r="D17" i="2" s="1"/>
  <c r="B17" i="2"/>
  <c r="B11" i="2"/>
  <c r="F7" i="2"/>
  <c r="G5" i="2"/>
  <c r="F5" i="2"/>
  <c r="E5" i="2"/>
  <c r="D5" i="2"/>
  <c r="C5" i="2"/>
  <c r="B5" i="2"/>
  <c r="H21" i="11" l="1"/>
  <c r="I21" i="11"/>
  <c r="D21" i="2"/>
  <c r="B12" i="12"/>
  <c r="F21" i="12" s="1"/>
  <c r="F16" i="8"/>
  <c r="B20" i="2" s="1"/>
  <c r="D30" i="8"/>
  <c r="E30" i="8"/>
  <c r="F30" i="8"/>
  <c r="C30" i="8"/>
  <c r="C13" i="11"/>
  <c r="C19" i="11"/>
  <c r="D12" i="11"/>
  <c r="B7" i="2"/>
  <c r="B6" i="9"/>
  <c r="D56" i="4"/>
  <c r="F8" i="2"/>
  <c r="C32" i="8"/>
  <c r="G8" i="2"/>
  <c r="D54" i="4"/>
  <c r="C37" i="5"/>
  <c r="D37" i="5" s="1"/>
  <c r="B49" i="5"/>
  <c r="B114" i="5"/>
  <c r="C127" i="5"/>
  <c r="F8" i="9"/>
  <c r="D5" i="8"/>
  <c r="D7" i="8" s="1"/>
  <c r="D28" i="8"/>
  <c r="B22" i="5"/>
  <c r="C22" i="5" s="1"/>
  <c r="D9" i="9"/>
  <c r="E9" i="2"/>
  <c r="D9" i="8"/>
  <c r="G31" i="8"/>
  <c r="F31" i="8"/>
  <c r="D8" i="2"/>
  <c r="D8" i="5"/>
  <c r="G30" i="8"/>
  <c r="E8" i="2"/>
  <c r="D126" i="5"/>
  <c r="D11" i="2" s="1"/>
  <c r="C126" i="5"/>
  <c r="B116" i="5"/>
  <c r="B94" i="5"/>
  <c r="D36" i="5"/>
  <c r="D125" i="5"/>
  <c r="C11" i="2" s="1"/>
  <c r="C125" i="5"/>
  <c r="B115" i="5"/>
  <c r="B93" i="5"/>
  <c r="B47" i="5"/>
  <c r="E54" i="4"/>
  <c r="C16" i="2"/>
  <c r="D16" i="2" s="1"/>
  <c r="G8" i="9"/>
  <c r="D127" i="5"/>
  <c r="E11" i="2" s="1"/>
  <c r="E6" i="8"/>
  <c r="E9" i="8" s="1"/>
  <c r="E32" i="8"/>
  <c r="C9" i="2"/>
  <c r="C35" i="5"/>
  <c r="D35" i="5" s="1"/>
  <c r="F54" i="4"/>
  <c r="F9" i="9"/>
  <c r="G9" i="2"/>
  <c r="B19" i="2"/>
  <c r="D19" i="2" s="1"/>
  <c r="B11" i="8"/>
  <c r="F6" i="2"/>
  <c r="B18" i="2"/>
  <c r="B102" i="5"/>
  <c r="G54" i="4"/>
  <c r="G56" i="4" s="1"/>
  <c r="C34" i="5"/>
  <c r="D34" i="5"/>
  <c r="C11" i="8"/>
  <c r="G14" i="8"/>
  <c r="G16" i="8" s="1"/>
  <c r="G6" i="2"/>
  <c r="C18" i="2"/>
  <c r="B7" i="5"/>
  <c r="D11" i="8"/>
  <c r="B19" i="11"/>
  <c r="B21" i="11" s="1"/>
  <c r="H26" i="4"/>
  <c r="H25" i="4"/>
  <c r="E57" i="4"/>
  <c r="E56" i="4"/>
  <c r="D7" i="5"/>
  <c r="B9" i="8"/>
  <c r="B117" i="5"/>
  <c r="B95" i="5"/>
  <c r="D6" i="5"/>
  <c r="C28" i="8"/>
  <c r="C5" i="8"/>
  <c r="C7" i="8" s="1"/>
  <c r="B6" i="5"/>
  <c r="B28" i="8"/>
  <c r="B5" i="8"/>
  <c r="B7" i="8" s="1"/>
  <c r="D5" i="5"/>
  <c r="B5" i="5"/>
  <c r="E28" i="8"/>
  <c r="E5" i="8"/>
  <c r="B23" i="5"/>
  <c r="C23" i="5" s="1"/>
  <c r="B8" i="5"/>
  <c r="C8" i="2"/>
  <c r="C7" i="9"/>
  <c r="C9" i="8"/>
  <c r="D21" i="12" l="1"/>
  <c r="B21" i="12"/>
  <c r="C21" i="12"/>
  <c r="E21" i="12"/>
  <c r="F10" i="2"/>
  <c r="F17" i="8"/>
  <c r="E11" i="8"/>
  <c r="C34" i="8"/>
  <c r="C20" i="2"/>
  <c r="D20" i="2" s="1"/>
  <c r="G17" i="8"/>
  <c r="G10" i="2"/>
  <c r="C7" i="2"/>
  <c r="C6" i="9"/>
  <c r="B16" i="8"/>
  <c r="D4" i="5"/>
  <c r="B19" i="5"/>
  <c r="C19" i="5" s="1"/>
  <c r="B4" i="5"/>
  <c r="E13" i="8"/>
  <c r="E14" i="8" s="1"/>
  <c r="E27" i="8"/>
  <c r="H56" i="4"/>
  <c r="D123" i="5"/>
  <c r="C123" i="5"/>
  <c r="B45" i="5"/>
  <c r="B9" i="2" s="1"/>
  <c r="F34" i="8"/>
  <c r="E34" i="8"/>
  <c r="D6" i="2"/>
  <c r="D8" i="9"/>
  <c r="B6" i="2"/>
  <c r="B8" i="9"/>
  <c r="C13" i="8"/>
  <c r="C14" i="8" s="1"/>
  <c r="C16" i="8" s="1"/>
  <c r="F56" i="4"/>
  <c r="C27" i="8"/>
  <c r="C33" i="8" s="1"/>
  <c r="D7" i="2"/>
  <c r="D6" i="9"/>
  <c r="B8" i="2"/>
  <c r="B7" i="9"/>
  <c r="E7" i="2"/>
  <c r="E6" i="9"/>
  <c r="E6" i="2"/>
  <c r="E8" i="9"/>
  <c r="E9" i="9"/>
  <c r="F9" i="2"/>
  <c r="C6" i="2"/>
  <c r="C8" i="9"/>
  <c r="D34" i="8"/>
  <c r="B13" i="8"/>
  <c r="B14" i="8" s="1"/>
  <c r="B27" i="8"/>
  <c r="D13" i="11"/>
  <c r="D19" i="11"/>
  <c r="E12" i="11"/>
  <c r="D13" i="8"/>
  <c r="D14" i="8" s="1"/>
  <c r="D16" i="8" s="1"/>
  <c r="D27" i="8"/>
  <c r="C24" i="11"/>
  <c r="E7" i="8"/>
  <c r="D18" i="2"/>
  <c r="C9" i="9"/>
  <c r="D9" i="2"/>
  <c r="C14" i="11"/>
  <c r="C15" i="11"/>
  <c r="E16" i="8" l="1"/>
  <c r="E10" i="2" s="1"/>
  <c r="C10" i="2"/>
  <c r="C17" i="8"/>
  <c r="D10" i="2"/>
  <c r="D17" i="8"/>
  <c r="D33" i="8"/>
  <c r="E33" i="8"/>
  <c r="F33" i="8"/>
  <c r="E19" i="11"/>
  <c r="F12" i="11"/>
  <c r="E13" i="11"/>
  <c r="D24" i="11"/>
  <c r="C16" i="11"/>
  <c r="C17" i="11" s="1"/>
  <c r="B20" i="12" s="1"/>
  <c r="C20" i="11"/>
  <c r="D14" i="11"/>
  <c r="D15" i="11"/>
  <c r="B10" i="2"/>
  <c r="B17" i="8"/>
  <c r="E17" i="8" l="1"/>
  <c r="B22" i="12"/>
  <c r="E14" i="11"/>
  <c r="E15" i="11" s="1"/>
  <c r="F19" i="11"/>
  <c r="G12" i="11"/>
  <c r="F13" i="11"/>
  <c r="D16" i="11"/>
  <c r="D17" i="11"/>
  <c r="C20" i="12" s="1"/>
  <c r="C22" i="12" s="1"/>
  <c r="C25" i="11"/>
  <c r="D20" i="11"/>
  <c r="C21" i="11"/>
  <c r="E16" i="11" l="1"/>
  <c r="E17" i="11" s="1"/>
  <c r="D20" i="12" s="1"/>
  <c r="D22" i="12" s="1"/>
  <c r="D25" i="11"/>
  <c r="E20" i="11"/>
  <c r="D21" i="11"/>
  <c r="F14" i="11"/>
  <c r="F15" i="11"/>
  <c r="G19" i="11"/>
  <c r="G13" i="11"/>
  <c r="G14" i="11" l="1"/>
  <c r="G15" i="11" s="1"/>
  <c r="B49" i="12"/>
  <c r="B50" i="12" s="1"/>
  <c r="B52" i="12" s="1"/>
  <c r="B53" i="12" s="1"/>
  <c r="F16" i="11"/>
  <c r="F17" i="11" s="1"/>
  <c r="E20" i="12" s="1"/>
  <c r="E22" i="12" s="1"/>
  <c r="F20" i="11"/>
  <c r="E21" i="11"/>
  <c r="G16" i="11" l="1"/>
  <c r="G17" i="11" s="1"/>
  <c r="F20" i="12" s="1"/>
  <c r="B41" i="12"/>
  <c r="B42" i="12" s="1"/>
  <c r="B43" i="12" s="1"/>
  <c r="B44" i="12" s="1"/>
  <c r="G20" i="11"/>
  <c r="G21" i="11" s="1"/>
  <c r="F21" i="11"/>
  <c r="B24" i="12" l="1"/>
  <c r="B25" i="12" s="1"/>
  <c r="F22" i="12"/>
  <c r="B26" i="12" s="1"/>
  <c r="F63" i="12"/>
  <c r="F62" i="12"/>
  <c r="B60" i="12"/>
  <c r="E59" i="12"/>
  <c r="C59" i="12"/>
  <c r="D61" i="12"/>
  <c r="D60" i="12"/>
  <c r="F59" i="12"/>
  <c r="B59" i="12"/>
  <c r="E62" i="12"/>
  <c r="D59" i="12"/>
  <c r="D62" i="12"/>
  <c r="E63" i="12"/>
  <c r="C62" i="12"/>
  <c r="C61" i="12"/>
  <c r="B62" i="12"/>
  <c r="F61" i="12"/>
  <c r="B61" i="12"/>
  <c r="E61" i="12"/>
  <c r="C63" i="12"/>
  <c r="D63" i="12"/>
  <c r="C60" i="12"/>
  <c r="F60" i="12"/>
  <c r="B63" i="12"/>
  <c r="E60" i="12"/>
  <c r="B27" i="12" l="1"/>
  <c r="B29" i="12" s="1"/>
  <c r="B31" i="12" s="1"/>
  <c r="B34" i="12" s="1"/>
  <c r="B35" i="12" s="1"/>
</calcChain>
</file>

<file path=xl/sharedStrings.xml><?xml version="1.0" encoding="utf-8"?>
<sst xmlns="http://schemas.openxmlformats.org/spreadsheetml/2006/main" count="407" uniqueCount="353">
  <si>
    <t>All figures live-linked to the corrected Income Statement / Financial Position / Ratios / Distress_Models tabs.</t>
  </si>
  <si>
    <t>Year</t>
  </si>
  <si>
    <t>Revenue (Rm)</t>
  </si>
  <si>
    <t>Current Ratio</t>
  </si>
  <si>
    <t>ROA (corrected)</t>
  </si>
  <si>
    <t>ROE</t>
  </si>
  <si>
    <t>Debt Ratio</t>
  </si>
  <si>
    <t>Altman Z''-Score</t>
  </si>
  <si>
    <t>Goodwill % of Total Assets</t>
  </si>
  <si>
    <t>KPI Scorecard — FY2018 vs FY2017 (traffic light)</t>
  </si>
  <si>
    <t>KPI</t>
  </si>
  <si>
    <t>FY2017</t>
  </si>
  <si>
    <t>FY2018</t>
  </si>
  <si>
    <t>Direction</t>
  </si>
  <si>
    <t>ROA</t>
  </si>
  <si>
    <t>Net Profit Margin</t>
  </si>
  <si>
    <t>Statement of Profit or Loss and OCI (Rm)</t>
  </si>
  <si>
    <t>Revenue</t>
  </si>
  <si>
    <t>Cost of Sales</t>
  </si>
  <si>
    <t>Gross Profit</t>
  </si>
  <si>
    <t>Other Operating Income</t>
  </si>
  <si>
    <t>Distribution Expenses</t>
  </si>
  <si>
    <t>Administration Expenses</t>
  </si>
  <si>
    <t>Other Operating Expenses</t>
  </si>
  <si>
    <t>Net Other Income</t>
  </si>
  <si>
    <t>Operating Profit/(Loss)</t>
  </si>
  <si>
    <t>Finance Costs</t>
  </si>
  <si>
    <t>Income from Investments</t>
  </si>
  <si>
    <t>Share of Profit of Equity Accounted Companies</t>
  </si>
  <si>
    <t>Impairment of Equity Accounted Companies</t>
  </si>
  <si>
    <t>Profit/(Loss) Before Taxation</t>
  </si>
  <si>
    <t>Taxation</t>
  </si>
  <si>
    <t>Profit/(Loss) from Continuing Operations</t>
  </si>
  <si>
    <t>Profit/(Loss) from Discontinued Operations</t>
  </si>
  <si>
    <t>Profit/(Loss) for the Year</t>
  </si>
  <si>
    <t>Other Comprehensive Income Total</t>
  </si>
  <si>
    <t>Total Comprehensive Income</t>
  </si>
  <si>
    <t>SUMMARISED FINANCIAL STATEMENTS continued</t>
  </si>
  <si>
    <t>Statement of financial position
as at 30 June 2014</t>
  </si>
  <si>
    <t>2014
Rm</t>
  </si>
  <si>
    <t>2013
Rm</t>
  </si>
  <si>
    <t>2012
Rm</t>
  </si>
  <si>
    <t>ASSETS</t>
  </si>
  <si>
    <t>Non-current assets</t>
  </si>
  <si>
    <t>Goodwill</t>
  </si>
  <si>
    <t>Intangible assets</t>
  </si>
  <si>
    <t>Property,  plant and equipment</t>
  </si>
  <si>
    <t>Investment property</t>
  </si>
  <si>
    <t>Consumable biological assets</t>
  </si>
  <si>
    <t>-</t>
  </si>
  <si>
    <t>Investments in equity accounted companies</t>
  </si>
  <si>
    <t>Investments and loans</t>
  </si>
  <si>
    <t>Deferred taxation assets</t>
  </si>
  <si>
    <t>Trade and other receivables</t>
  </si>
  <si>
    <t>Current assets</t>
  </si>
  <si>
    <t>Vehicle rental fleet</t>
  </si>
  <si>
    <t>Inventories</t>
  </si>
  <si>
    <t>Taxation Received</t>
  </si>
  <si>
    <t>Short-term loans receivable</t>
  </si>
  <si>
    <t>Investment &amp; Loans</t>
  </si>
  <si>
    <t>Cash and cash equivalents</t>
  </si>
  <si>
    <t>Assets and disposal groups classified as held for sale</t>
  </si>
  <si>
    <t>Total assets</t>
  </si>
  <si>
    <t>EQUITY AND LIABILITIES</t>
  </si>
  <si>
    <t>Capital and reserves</t>
  </si>
  <si>
    <t>Ordinary share capital and premium</t>
  </si>
  <si>
    <t>Reserves</t>
  </si>
  <si>
    <t>Accumulated losses</t>
  </si>
  <si>
    <t>Preference share capital and premium</t>
  </si>
  <si>
    <t>Total equity attributable to equity holders of the parent</t>
  </si>
  <si>
    <t>Non-controlling interests</t>
  </si>
  <si>
    <t>Total equity</t>
  </si>
  <si>
    <t>Non-current liabilities</t>
  </si>
  <si>
    <t>Interest-bearing loans and borrowings</t>
  </si>
  <si>
    <t>Employee benefits</t>
  </si>
  <si>
    <t>Deferred taxation liabilities</t>
  </si>
  <si>
    <t>Provisions</t>
  </si>
  <si>
    <t>Trade and other payables</t>
  </si>
  <si>
    <t>Current liabilities</t>
  </si>
  <si>
    <t>Share scheme settlement provision</t>
  </si>
  <si>
    <t>Taxation payable</t>
  </si>
  <si>
    <t>Bank overdrafts and short-term facilities</t>
  </si>
  <si>
    <t>Liabilities and disposal groups classified as held for sale</t>
  </si>
  <si>
    <t>Total equity and liabilities</t>
  </si>
  <si>
    <t>Balance Check (Total Assets − Total Equity &amp; Liabilities)</t>
  </si>
  <si>
    <t>Ratio Analysis</t>
  </si>
  <si>
    <t>1. Liquidity Ratios</t>
  </si>
  <si>
    <t>Current Assets (Rm)</t>
  </si>
  <si>
    <t>Current Liabilities (Rm)</t>
  </si>
  <si>
    <t>Liquidity improved from 2012 to 2014.</t>
  </si>
  <si>
    <t>The ratio collapsed to 0.45 in 2015.</t>
  </si>
  <si>
    <t>A ratio below 1 indicates that short-term liabilities exceeded current assets.</t>
  </si>
  <si>
    <t>This was a major warning sign of financial distress.</t>
  </si>
  <si>
    <t>2. Quick Ratio</t>
  </si>
  <si>
    <t>Quick Ratio</t>
  </si>
  <si>
    <t>The ratio fell sharply after 2014.</t>
  </si>
  <si>
    <t>Indicates growing dependence on inventory to meet obligations.</t>
  </si>
  <si>
    <t>Serious liquidity concerns emerged before the scandal became public.</t>
  </si>
  <si>
    <t>3. Solvency Ratios</t>
  </si>
  <si>
    <t>Debt (Rm)</t>
  </si>
  <si>
    <t>Equity (Rm)</t>
  </si>
  <si>
    <t>D/E Ratio</t>
  </si>
  <si>
    <t>Debt financed an increasingly large proportion of assets, indicating rising financial risk.</t>
  </si>
  <si>
    <t>4. Profitability Ratios</t>
  </si>
  <si>
    <t>Gross Profit Margin</t>
  </si>
  <si>
    <t>Margin</t>
  </si>
  <si>
    <t>Operating Profit Margin</t>
  </si>
  <si>
    <t>The collapse from 9.3% in 2016 to negative margins in 2017 signals severe operational deterioration.</t>
  </si>
  <si>
    <t>Large losses emerged immediately after the accounting irregularities were revealed.</t>
  </si>
  <si>
    <t>5. Return Ratios</t>
  </si>
  <si>
    <t>Return on Assets (ROA)</t>
  </si>
  <si>
    <t>Return on Equity (ROE)</t>
  </si>
  <si>
    <t>The exceptionally high ROE in 2015 was driven partly by the dramatic reduction in equity, a potential warning sign rather than evidence of superior performance.</t>
  </si>
  <si>
    <t>6. Efficiency Ratios</t>
  </si>
  <si>
    <t>Asset Turnover Ratio</t>
  </si>
  <si>
    <t>Asset Turnover</t>
  </si>
  <si>
    <t>7. Earnings Quality Red Flags</t>
  </si>
  <si>
    <t>Goodwill (Rm)</t>
  </si>
  <si>
    <t>Assets (Rm)</t>
  </si>
  <si>
    <t>%</t>
  </si>
  <si>
    <t>Goodwill grew dramatically and represented over one-third of total assets by 2016. Such a high proportion is a major earnings-quality warning sign and indicates aggressive acquisition accounting.</t>
  </si>
  <si>
    <t>Statement of cash flows
for the year ended 30 June 2014</t>
  </si>
  <si>
    <t>2018
Rm</t>
  </si>
  <si>
    <t>2017
Rm</t>
  </si>
  <si>
    <t>2016
Rm</t>
  </si>
  <si>
    <t>2015
Rm</t>
  </si>
  <si>
    <t>CASH FLOWS FROM OPERATING ACTIVITIES</t>
  </si>
  <si>
    <t>Cash generated from operations</t>
  </si>
  <si>
    <t>Net movement in unsecured instalment sale and loan receivables</t>
  </si>
  <si>
    <t xml:space="preserve">                     -  </t>
  </si>
  <si>
    <t>Net dividends paid</t>
  </si>
  <si>
    <t>Net finance charges</t>
  </si>
  <si>
    <t>Taxation paid</t>
  </si>
  <si>
    <t>Net cash inflow from operating activities</t>
  </si>
  <si>
    <t>CASH FLOWS FROM INVESTING ACTIVITIES</t>
  </si>
  <si>
    <t> </t>
  </si>
  <si>
    <t>Additions to property, plant and equipment and investment property</t>
  </si>
  <si>
    <t>Additions to intangible assets</t>
  </si>
  <si>
    <t>Proceeds on disposal of property, plant and equipment, investment property</t>
  </si>
  <si>
    <t>and intangible assets</t>
  </si>
  <si>
    <t>Acquisition of subsidiaries and businesses, net of cash on hand at acquisition</t>
  </si>
  <si>
    <t>Disposal of subsidiaries and businesses, net of cash on hand at disposal</t>
  </si>
  <si>
    <t>Increase in investments and loans</t>
  </si>
  <si>
    <t>Increase/(decrease) in treasury shares</t>
  </si>
  <si>
    <t>Increase in short-term loans receivable</t>
  </si>
  <si>
    <t>Net decrease in investments in equity accounted companies</t>
  </si>
  <si>
    <t>Transactions with non-controlling interests</t>
  </si>
  <si>
    <t>Net cash outflow from investing activities</t>
  </si>
  <si>
    <t>CASH FLOWS FROM FINANCING ACTIVITIES</t>
  </si>
  <si>
    <t>Proceeds from ordinary shares issued</t>
  </si>
  <si>
    <t>Proceeds from preference shares issued</t>
  </si>
  <si>
    <t>Share issue expenses</t>
  </si>
  <si>
    <t>Preference shares redeemed</t>
  </si>
  <si>
    <t>Capital distribution paid</t>
  </si>
  <si>
    <t>Increase in treasury shares</t>
  </si>
  <si>
    <t>(Decrease)/increase in bank overdrafts and short-term facilities</t>
  </si>
  <si>
    <t>Increase in long-term interest-bearing loans and borrowings</t>
  </si>
  <si>
    <t>Decrease in short-term interest-bearing loans and borrowings</t>
  </si>
  <si>
    <t>Net cash inflow from financing activities</t>
  </si>
  <si>
    <t>NET INCREASE/(DECREASE) IN CASH AND CASH EQUIVALENTS</t>
  </si>
  <si>
    <t>Cash and cash equivalents at beginning of the year</t>
  </si>
  <si>
    <t>Effects of exchange rate translations on cash and cash equivalents</t>
  </si>
  <si>
    <t>CASH AND CASH EQUIVALENTS AT END OF YEAR</t>
  </si>
  <si>
    <t>STEINHOFF — CHRONOLOGY OF KEY EVENTS &amp; RED FLAGS (2013–2019+)</t>
  </si>
  <si>
    <t>Date/Period</t>
  </si>
  <si>
    <t>Event</t>
  </si>
  <si>
    <t>Category</t>
  </si>
  <si>
    <t>Red-flag / financial-analytics indicator</t>
  </si>
  <si>
    <t>2013–2016</t>
  </si>
  <si>
    <t>Aggressive debt- and equity-funded acquisition spree (Pepkor, Mattress Firm, Poundland, Conforama, KIKA/Leiner)</t>
  </si>
  <si>
    <t>Governance / Strategy</t>
  </si>
  <si>
    <t>Goodwill rises from R15.6bn (2012) to R48.5bn (2015) — 3x in 3 years; M&amp;A-fuelled growth is a classic pre-fraud pattern used to mask organic underperformance</t>
  </si>
  <si>
    <t>FY2015 (restated)</t>
  </si>
  <si>
    <t>Comparatives later show current liabilities of R115.7bn vs current assets of R51.7bn; accumulated losses of R71.5bn appear in restated accounts</t>
  </si>
  <si>
    <t>Liquidity / Solvency</t>
  </si>
  <si>
    <t>Current ratio collapses to 0.45x and Debt/Equity spikes to 2.87x — a going-concern-level liquidity red flag, consistent with short-term debt reclassification once covenant breaches were disclosed</t>
  </si>
  <si>
    <t>2015–2016</t>
  </si>
  <si>
    <t>Related-party transactions with entities linked to a 'senior management executive' (Markus Jooste) and offshore structures (Campion Capital, Southern View Finance, etc.) used to book fictitious profit on disposals</t>
  </si>
  <si>
    <t>Fraud mechanism</t>
  </si>
  <si>
    <t>Off-balance-sheet special purpose entities recording circular/fictitious income — classic related-party earnings-management red flag</t>
  </si>
  <si>
    <t>H1 FY2017 (to Mar 2017)</t>
  </si>
  <si>
    <t>Interim results show cash flow from operations of only EUR13m for the six months to March 2017 (vs a much stronger prior-year comparable half); free cash flow -EUR403m vs +EUR164m in H1 FY2016</t>
  </si>
  <si>
    <t>Cash flow / Earnings quality</t>
  </si>
  <si>
    <t>A profit figure (EUR706m net income for the period) that is not backed by operating cash generation is a classic earnings-quality red flag — cash flow deteriorated sharply months before the December 2017 disclosure</t>
  </si>
  <si>
    <t>Aug 2017</t>
  </si>
  <si>
    <t>Auditor (Deloitte) delays sign-off on FY2017 results</t>
  </si>
  <si>
    <t>Audit</t>
  </si>
  <si>
    <t>Audit delay of published results is a top-tier red flag for financial statement fraud</t>
  </si>
  <si>
    <t>5 Dec 2017</t>
  </si>
  <si>
    <t>CEO Markus Jooste resigns with immediate effect; board discloses 'accounting irregularities'</t>
  </si>
  <si>
    <t>Governance trigger</t>
  </si>
  <si>
    <t>Sudden, unexplained C-suite resignation coinciding with results delay</t>
  </si>
  <si>
    <t>6–8 Dec 2017</t>
  </si>
  <si>
    <t>Share price falls ~85–98% in one week; ~€10.3bn (~R150bn+) wiped off market value in days; Moody's cuts credit rating to junk</t>
  </si>
  <si>
    <t>Market reaction</t>
  </si>
  <si>
    <t>Extreme, rapid market repricing confirms the market had not priced in the fraud — evidence of prior information asymmetry</t>
  </si>
  <si>
    <t>PwC forensic investigation commissioned by the board</t>
  </si>
  <si>
    <t>Investigation</t>
  </si>
  <si>
    <t>External forensic investigation triggered by predication (auditor concerns, whistle-blower/related-party evidence, executive resignation)</t>
  </si>
  <si>
    <t>Mar 2019</t>
  </si>
  <si>
    <t>PwC summary findings released: ~€6.5bn (~$7.4bn) of fictitious/irregular transactions identified from 2009–2017, inflating profits and asset values</t>
  </si>
  <si>
    <t>Investigation outcome</t>
  </si>
  <si>
    <t>Confirms multi-year, systemic overstatement of income and non-current assets (goodwill/intangibles) rather than an isolated misstatement</t>
  </si>
  <si>
    <t>Restated FY2017 (and FY2016 comparative) financial statements finally published, showing large prior-year losses and asset write-downs</t>
  </si>
  <si>
    <t>Financial reporting</t>
  </si>
  <si>
    <t>Company total assets fall from R195bn (2014) to R143.5bn (2016) even before full restatement — early evidence of overstated non-current assets</t>
  </si>
  <si>
    <t>2019–2023</t>
  </si>
  <si>
    <t>€21bn Steinhoff creditor restructuring / lock-up agreements; multiple class actions and regulatory settlements (incl. ~R25bn global settlement)</t>
  </si>
  <si>
    <t>Legal/Regulatory</t>
  </si>
  <si>
    <t>Debt-for-equity restructuring confirms the balance sheet could not support previously reported debt levels once fictitious assets were removed</t>
  </si>
  <si>
    <t>FINANCIAL DISTRESS &amp; EARNINGS-MANIPULATION ANALYTICS — STEINHOFF INTERNATIONAL</t>
  </si>
  <si>
    <t>A. Altman Z''-Score (Emerging-Market / Book-Value Model, Altman 1995)</t>
  </si>
  <si>
    <t>Working Capital (CA - CL), Rm</t>
  </si>
  <si>
    <t>Total Assets, Rm</t>
  </si>
  <si>
    <t>X1 = Working Capital / Total Assets</t>
  </si>
  <si>
    <t>Retained Earnings (Accum. losses), Rm</t>
  </si>
  <si>
    <t>X2 = Retained Earnings / Total Assets</t>
  </si>
  <si>
    <t>EBIT (Operating profit), Rm</t>
  </si>
  <si>
    <t>X3 = EBIT / Total Assets</t>
  </si>
  <si>
    <t>Book Value of Equity, Rm</t>
  </si>
  <si>
    <t>Total Liabilities, Rm</t>
  </si>
  <si>
    <t>X4 = Book Equity / Total Liabilities</t>
  </si>
  <si>
    <t>Z''-Score = 6.56X1 + 3.26X2 + 6.72X3 + 1.05X4</t>
  </si>
  <si>
    <t>Zone (Z'' &gt; 2.6 Safe | 1.1-2.6 Grey | &lt; 1.1 Distress)</t>
  </si>
  <si>
    <t xml:space="preserve"> a Z''-Score trend crossing from Safe/Grey into the Distress zone ahead of the December 2017 , The Company  financials already signalled deteriorating solvency, independent of the market's slower repricing.</t>
  </si>
  <si>
    <t>B. Earnings-Manipulation Red-Flag Indices (Beneish-style, partial — see note)</t>
  </si>
  <si>
    <t>Trade &amp; other receivables (current), Rm</t>
  </si>
  <si>
    <t>Sales / Revenue, Rm</t>
  </si>
  <si>
    <t>Gross Margin % (Gross profit / Sales)</t>
  </si>
  <si>
    <t>Leverage (Total Liabilities / Total Assets)</t>
  </si>
  <si>
    <t>Non-Current-Asset Intensity (1 - (CA+PPE)/TA)</t>
  </si>
  <si>
    <t>DSRI (Days-Sales-Receivables Index)</t>
  </si>
  <si>
    <t>GMI (Gross Margin Index, prior/current)</t>
  </si>
  <si>
    <t>SGI (Sales Growth Index)</t>
  </si>
  <si>
    <t>LVGI (Leverage Index)</t>
  </si>
  <si>
    <t>AQI (Asset Quality Index)</t>
  </si>
  <si>
    <t>Note: the full 8-variable Beneish M-Score also requires DEPI (depreciation index), SGAI (SG&amp;A index) and TATA (total accruals/total assets, which needs operating cash flow). This summarised workbook only contains operating cash flow for FY2013-FY2014 (Cash Flow tab) and does not disaggregate SG&amp;A or depreciation, so a defensible full M-Score cannot be computed from these statements alone — this is itself worth noting in Q1.3/Q4.1 as a disclosure-granularity red flag. The five indices above (DSRI, GMI, SGI, LVGI, AQI) are the subset computable from the available summarised financials; values &gt; 1 (shaded red) indicate a manipulation-consistent direction for that individual index. For a full M-Score, source the FY2013-2017 detailed annual reports from steinhoffinternational.com investor relations.</t>
  </si>
  <si>
    <t>KPI SCORECARD — STEINHOFF INTERNATIONAL (live-linked to Ratios tab)</t>
  </si>
  <si>
    <t>Traffic-light format: Green = Healthy | Amber = Warning | Red = Critical. Thresholds are shown in column A next to each KPI.</t>
  </si>
  <si>
    <t>Revenue Growth % (same-currency blocks only)</t>
  </si>
  <si>
    <t>no FY2012 base*</t>
  </si>
  <si>
    <t>Gross Margin %</t>
  </si>
  <si>
    <t>STEINHOFF SHARE PRICE — VERIFIED ANCHOR POINTS (JSE:SNH, ZAR)</t>
  </si>
  <si>
    <t>Date</t>
  </si>
  <si>
    <t>Price (ZAR)</t>
  </si>
  <si>
    <t>Market Cap (Rbn)</t>
  </si>
  <si>
    <t>Source</t>
  </si>
  <si>
    <t>2016-04-01</t>
  </si>
  <si>
    <t>Pre-decline local peak, ahead of slow decline into 2017</t>
  </si>
  <si>
    <t>CNBC Africa, "Inside the Steinhoff saga" (Jun 2018)</t>
  </si>
  <si>
    <t>Before</t>
  </si>
  <si>
    <t>2017-05-23</t>
  </si>
  <si>
    <t>Last stable trading level before the December crash</t>
  </si>
  <si>
    <t>2017-12-01</t>
  </si>
  <si>
    <t>Approx. price immediately before resignation announcement</t>
  </si>
  <si>
    <t>2017-12-06</t>
  </si>
  <si>
    <t>Jooste resignation + "accounting irregularities" disclosed after market close</t>
  </si>
  <si>
    <t>Public record / Steinhoff SENS announcement</t>
  </si>
  <si>
    <t>During</t>
  </si>
  <si>
    <t>2017-12-08</t>
  </si>
  <si>
    <t>End of first crash week — approx. 85-98% one-week decline; ~R150bn+ (~EUR10.3bn) of market value erased</t>
  </si>
  <si>
    <t>~1.00-8.00 (range unverified daily low)</t>
  </si>
  <si>
    <t>Bloomberg/Reuters/BizNews, Dec 2017 (cross-check exact daily close against JSE data before using in the model)</t>
  </si>
  <si>
    <t>2023-10-13</t>
  </si>
  <si>
    <t>JSE delisting — final trading day</t>
  </si>
  <si>
    <t>0.0854 (total mkt cap at delisting)</t>
  </si>
  <si>
    <t>JSE delisting notice / afx.kwayisi.org</t>
  </si>
  <si>
    <t>After</t>
  </si>
  <si>
    <t>INTEGRATED 5-YEAR FORECAST — 'NO-SCANDAL' COUNTERFACTUAL vs ACTUAL OUTCOMES (Rm)</t>
  </si>
  <si>
    <t>Key assumptions (documented)</t>
  </si>
  <si>
    <t>Revenue growth p.a.</t>
  </si>
  <si>
    <t>Conservative mid-single-digit organic growth. NOT extrapolated from the FY2013-FY2016 CAGR because that period includes major, non-organic scope changes (acquisitions/deconsolidations) that distort a simple CAGR; 5% approximates management's pre-scandal growth guidance and broad retail-sector norms.</t>
  </si>
  <si>
    <t>Operating (EBIT) margin</t>
  </si>
  <si>
    <t>Average of FY2013-FY2016 actual Operating Profit Margin (9.7%, 12.0%, 12.4%, 9.3%) per the corrected Ratios tab, rounded to 10.5%.</t>
  </si>
  <si>
    <t>Effective tax rate</t>
  </si>
  <si>
    <t>Blend of the FY2013-FY2016 historical effective rate (~12-18%) and the SA statutory corporate rate (28% at the time), reflecting normalised ongoing profitability rather than the very low effective rates seen in some historical years.</t>
  </si>
  <si>
    <t>Asset turnover (Revenue / Total Assets)</t>
  </si>
  <si>
    <t>Average of FY2013, FY2014 and FY2016 actual Asset Turnover per the corrected Ratios tab (FY2015 excluded as a distorted outlier). Used both to project Total Assets and, via Damodaran's sales-to-capital approach, to estimate reinvestment (capex + working capital) needed to fund growth.</t>
  </si>
  <si>
    <t>Dividend payout ratio</t>
  </si>
  <si>
    <t>Assumed 0% (fully retained earnings) for simplicity in the counterfactual — conservative, since any actual payout would only reduce the counterfactual equity build-up shown here.</t>
  </si>
  <si>
    <t>Reinvestment rate (% of NOPAT) — normalised organic capex/NWC, no further M&amp;A</t>
  </si>
  <si>
    <t>Materially lower than Steinhoff's actual historical capital intensity (Total Assets/Revenue implied a reinvestment need of ~R1.67 for every R1 of new revenue), because that historical intensity was driven by debt-funded M&amp;A goodwill, not organic reinvestment. The counterfactual assumes no further acquisitions, so a standard organic reinvestment rate is used instead.</t>
  </si>
  <si>
    <t>Rm</t>
  </si>
  <si>
    <t>FY2016 (base, Actual)</t>
  </si>
  <si>
    <t>FY2017E (counterfactual)</t>
  </si>
  <si>
    <t>FY2018E (counterfactual)</t>
  </si>
  <si>
    <t>FY2019E (counterfactual)</t>
  </si>
  <si>
    <t>FY2020E (counterfactual)</t>
  </si>
  <si>
    <t>FY2021E (counterfactual)</t>
  </si>
  <si>
    <t>FY2017 (Actual)</t>
  </si>
  <si>
    <t>FY2018 (Actual)</t>
  </si>
  <si>
    <t>EBIT (Operating Profit)</t>
  </si>
  <si>
    <t>Tax on EBIT</t>
  </si>
  <si>
    <t>NOPAT</t>
  </si>
  <si>
    <t>Reinvestment (capex + ΔNWC, sales-to-capital method)</t>
  </si>
  <si>
    <t>Unlevered Free Cash Flow (FCFF)</t>
  </si>
  <si>
    <t>Total Assets (implied)</t>
  </si>
  <si>
    <t>Total Equity (roll-forward, retained earnings)</t>
  </si>
  <si>
    <t>Implied Total Liabilities (plug = Assets − Equity)</t>
  </si>
  <si>
    <t>Value destruction vs counterfactual</t>
  </si>
  <si>
    <t>Total Assets: Counterfactual FY2017E/18E vs Actual FY2017/18</t>
  </si>
  <si>
    <t>Total Equity: Counterfactual FY2017E/18E vs Actual FY2017/18</t>
  </si>
  <si>
    <t>A. Cost of Equity (CAPM) and WACC</t>
  </si>
  <si>
    <t>Risk-free rate (Rf) — SA 10-yr government bond, ~FY2016</t>
  </si>
  <si>
    <t>Equity risk premium (South Africa)</t>
  </si>
  <si>
    <t>Levered Beta (JSE retail/consumer conglomerate, illustrative)</t>
  </si>
  <si>
    <t>Cost of debt (pre-tax) — avg finance cost / avg interest-bearing debt</t>
  </si>
  <si>
    <t>Tax rate (link to Forecast assumption)</t>
  </si>
  <si>
    <t>Target Debt / (Debt+Equity)</t>
  </si>
  <si>
    <t>Cost of Equity (Ke) = Rf + Beta × ERP</t>
  </si>
  <si>
    <t>After-tax Cost of Debt = Kd × (1 − tax)</t>
  </si>
  <si>
    <t>WACC = Ke×(1−D/V) + Kd(1−t)×(D/V)</t>
  </si>
  <si>
    <t>B. Discounted Cash Flow (DCF) — FCFF from Forecast_5Y</t>
  </si>
  <si>
    <t>Terminal growth rate (g)</t>
  </si>
  <si>
    <t>FY2017E</t>
  </si>
  <si>
    <t>FY2018E</t>
  </si>
  <si>
    <t>FY2019E</t>
  </si>
  <si>
    <t>FY2020E</t>
  </si>
  <si>
    <t>FY2021E</t>
  </si>
  <si>
    <t>FCFF (Rm)</t>
  </si>
  <si>
    <t>Discount factor = 1/(1+WACC)^n</t>
  </si>
  <si>
    <t>PV of FCFF</t>
  </si>
  <si>
    <t>Terminal Value (at end FY2021E) = FCFF2021×(1+g)/(WACC−g)</t>
  </si>
  <si>
    <t>PV of Terminal Value</t>
  </si>
  <si>
    <t>Sum of PV of FCFF (FY2017E-FY2021E)</t>
  </si>
  <si>
    <t>Enterprise Value (EV) = ΣPV(FCFF) + PV(TV)</t>
  </si>
  <si>
    <t>Less: Net Debt (FY2016 actual: interest-bearing debt − cash)</t>
  </si>
  <si>
    <t>Implied Equity Value (counterfactual, no-scandal)</t>
  </si>
  <si>
    <t>Shares in issue (approx., Rm shares — source: Steinhoff FY2016 annual report)</t>
  </si>
  <si>
    <t>Implied Intrinsic Value per Share (ZAR)</t>
  </si>
  <si>
    <t>Actual share price at JSE delisting (13 Oct 2023)</t>
  </si>
  <si>
    <t>Implied value destruction per share (counterfactual − actual)</t>
  </si>
  <si>
    <t>Implied % of intrinsic value destroyed</t>
  </si>
  <si>
    <t>C. Dividend Discount Model (DDM) — illustrative cross-check</t>
  </si>
  <si>
    <t>Illustrative only: Steinhoff suspended dividends after Dec-2017. Modelled here on the counterfactual NOPAT with an assumed payout ratio, purely to cross-check the DCF.</t>
  </si>
  <si>
    <t>Assumed payout ratio</t>
  </si>
  <si>
    <t>FY2021E Dividend = NOPAT × payout</t>
  </si>
  <si>
    <t>Next-year dividend D1 = D0 × (1+g)</t>
  </si>
  <si>
    <t>DDM Value of Equity = D1 / (Ke − g)</t>
  </si>
  <si>
    <t>DDM Implied Value per Share</t>
  </si>
  <si>
    <t>D. Relative Valuation — EV/EBITDA multiple cross-check</t>
  </si>
  <si>
    <t>Peer average EV/EBITDA (global retail conglomerates, illustrative)</t>
  </si>
  <si>
    <t>FY2021E EBITDA proxy (EBIT, no D&amp;A disaggregation available)</t>
  </si>
  <si>
    <t>Implied EV (relative)</t>
  </si>
  <si>
    <t>Less: Net Debt (FY2016 actual)</t>
  </si>
  <si>
    <t>Implied Equity Value (relative)</t>
  </si>
  <si>
    <t>Implied Value per Share (relative)</t>
  </si>
  <si>
    <t>E. Sensitivity Analysis — Implied Value per Share (ZAR), WACC × Terminal Growth</t>
  </si>
  <si>
    <t>WACC ↓ / g →</t>
  </si>
  <si>
    <t>Read as: at the base-case WACC (~13%) and terminal growth (3%), the counterfactual intrinsic value per share is materially positive across the full assumption grid — versus the R0.02 actual price at delisting. This range demonstrates the value destruction finding is robust to reasonable changes in discount rate and growth assumptions, not an artefact of one specific input.</t>
  </si>
  <si>
    <t xml:space="preserve">VALUATION — DCF, DDM, RELATIVE MULTIPLES, COST OF EQUITY/WACC, SENSITIVITY </t>
  </si>
  <si>
    <t xml:space="preserve">STEINHOFF INTERNATIONAL — EXECUTIVE DASHBOARD </t>
  </si>
  <si>
    <t>Dividends received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</si>
</sst>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_-* #,##0.00_-;\-* #,##0.00_-;_-* \-??_-;_-@_-"/>
    <numFmt numFmtId="166" formatCode="_(* #,##0.00_);_(* \(#,##0.00\);_(* \-??_);_(@_)"/>
    <numFmt numFmtId="167" formatCode="#,##0;\(#,##0\);\-"/>
    <numFmt numFmtId="168" formatCode="0.000"/>
    <numFmt numFmtId="169" formatCode="0.0\x"/>
  </numFmts>
  <fonts count="30" x14ac:knownFonts="1">
    <font>
      <sz val="11"/>
      <color theme="1"/>
      <name val="Calibri"/>
      <family val="2"/>
      <charset val="1"/>
    </font>
    <font>
      <sz val="11"/>
      <color theme="1"/>
      <name val="Calibri"/>
      <family val="2"/>
      <scheme val="minor"/>
    </font>
    <font>
      <sz val="11"/>
      <color rgb="FF000000"/>
      <name val="Calibri"/>
      <family val="2"/>
      <charset val="1"/>
    </font>
    <font>
      <b/>
      <sz val="11"/>
      <color theme="1"/>
      <name val="Calibri"/>
      <family val="2"/>
      <charset val="1"/>
    </font>
    <font>
      <sz val="11"/>
      <name val="Calibri"/>
      <family val="2"/>
      <charset val="1"/>
    </font>
    <font>
      <b/>
      <sz val="11"/>
      <name val="Calibri"/>
      <family val="2"/>
      <charset val="1"/>
    </font>
    <font>
      <b/>
      <sz val="11"/>
      <color rgb="FF000000"/>
      <name val="Calibri"/>
      <family val="2"/>
      <charset val="1"/>
    </font>
    <font>
      <b/>
      <sz val="11"/>
      <color rgb="FF4D4D4F"/>
      <name val="Calibri"/>
      <family val="2"/>
      <charset val="1"/>
    </font>
    <font>
      <sz val="11"/>
      <color rgb="FF4D4D4F"/>
      <name val="Calibri"/>
      <family val="2"/>
      <charset val="1"/>
    </font>
    <font>
      <i/>
      <sz val="11"/>
      <name val="Calibri"/>
      <family val="2"/>
      <charset val="1"/>
    </font>
    <font>
      <sz val="10"/>
      <name val="Arial"/>
      <family val="2"/>
      <charset val="1"/>
    </font>
    <font>
      <sz val="11"/>
      <name val="Arial"/>
      <family val="2"/>
      <charset val="1"/>
    </font>
    <font>
      <b/>
      <sz val="11"/>
      <name val="Arial"/>
      <family val="2"/>
      <charset val="1"/>
    </font>
    <font>
      <b/>
      <sz val="14"/>
      <color theme="1"/>
      <name val="Arial"/>
      <family val="2"/>
      <charset val="1"/>
    </font>
    <font>
      <b/>
      <sz val="11"/>
      <color theme="1"/>
      <name val="Arial"/>
      <family val="2"/>
      <charset val="1"/>
    </font>
    <font>
      <b/>
      <sz val="14"/>
      <name val="Times New Roman"/>
      <family val="1"/>
      <charset val="1"/>
    </font>
    <font>
      <sz val="12"/>
      <name val="Times New Roman"/>
      <family val="1"/>
      <charset val="1"/>
    </font>
    <font>
      <i/>
      <sz val="10"/>
      <color rgb="FF595959"/>
      <name val="Times New Roman"/>
      <family val="1"/>
      <charset val="1"/>
    </font>
    <font>
      <b/>
      <sz val="11"/>
      <name val="Calibri"/>
      <family val="2"/>
    </font>
    <font>
      <sz val="11"/>
      <color rgb="FF0000FF"/>
      <name val="Calibri"/>
      <family val="2"/>
    </font>
    <font>
      <b/>
      <sz val="11"/>
      <color rgb="FFC00000"/>
      <name val="Cambria"/>
      <family val="1"/>
    </font>
    <font>
      <b/>
      <i/>
      <sz val="11"/>
      <color rgb="FF595959"/>
      <name val="Calibri"/>
      <family val="2"/>
      <scheme val="minor"/>
    </font>
    <font>
      <b/>
      <i/>
      <sz val="11"/>
      <color theme="1"/>
      <name val="Calibri"/>
      <family val="2"/>
      <scheme val="minor"/>
    </font>
    <font>
      <b/>
      <sz val="11"/>
      <name val="Calibri"/>
      <family val="2"/>
      <scheme val="minor"/>
    </font>
    <font>
      <b/>
      <sz val="11"/>
      <color rgb="FFFFFFFF"/>
      <name val="Calibri"/>
      <family val="2"/>
      <scheme val="minor"/>
    </font>
    <font>
      <sz val="11"/>
      <name val="Calibri"/>
      <family val="2"/>
      <scheme val="minor"/>
    </font>
    <font>
      <b/>
      <sz val="12"/>
      <color theme="1"/>
      <name val="Times New Roman"/>
      <family val="1"/>
      <charset val="1"/>
    </font>
    <font>
      <i/>
      <sz val="11"/>
      <color rgb="FF595959"/>
      <name val="Calibri"/>
      <family val="2"/>
    </font>
    <font>
      <b/>
      <sz val="11"/>
      <color theme="1"/>
      <name val="Cambria"/>
      <family val="1"/>
    </font>
    <font>
      <b/>
      <sz val="11"/>
      <name val="Cambria"/>
      <family val="1"/>
    </font>
  </fonts>
  <fills count="5">
    <fill>
      <patternFill patternType="none"/>
    </fill>
    <fill>
      <patternFill patternType="gray125"/>
    </fill>
    <fill>
      <patternFill patternType="solid">
        <fgColor rgb="FF1F4E78"/>
        <bgColor rgb="FF003366"/>
      </patternFill>
    </fill>
    <fill>
      <patternFill patternType="solid">
        <fgColor rgb="FF4D4D4F"/>
        <bgColor rgb="FF595959"/>
      </patternFill>
    </fill>
    <fill>
      <patternFill patternType="solid">
        <fgColor rgb="FFFFFF0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2">
    <xf numFmtId="0" fontId="0" fillId="0" borderId="0" xfId="0"/>
    <xf numFmtId="0" fontId="0" fillId="0" borderId="0" xfId="0" applyAlignment="1">
      <alignment horizontal="left" vertical="top"/>
    </xf>
    <xf numFmtId="165" fontId="2" fillId="0" borderId="0" xfId="0" applyNumberFormat="1" applyFont="1" applyAlignment="1">
      <alignment horizontal="left" vertical="top"/>
    </xf>
    <xf numFmtId="0" fontId="0" fillId="0" borderId="0" xfId="0" applyAlignment="1">
      <alignment horizontal="center" vertical="top"/>
    </xf>
    <xf numFmtId="0" fontId="3" fillId="0" borderId="1" xfId="0" applyFont="1" applyBorder="1" applyAlignment="1">
      <alignment horizontal="left"/>
    </xf>
    <xf numFmtId="0" fontId="3" fillId="0" borderId="1" xfId="0" applyFont="1" applyBorder="1"/>
    <xf numFmtId="0" fontId="0" fillId="0" borderId="1" xfId="0" applyBorder="1" applyAlignment="1">
      <alignment horizontal="left"/>
    </xf>
    <xf numFmtId="165" fontId="4" fillId="0" borderId="1" xfId="0" applyNumberFormat="1" applyFont="1" applyBorder="1"/>
    <xf numFmtId="0" fontId="5" fillId="0" borderId="1" xfId="0" applyFont="1" applyBorder="1" applyAlignment="1">
      <alignment horizontal="left"/>
    </xf>
    <xf numFmtId="165" fontId="5" fillId="0" borderId="1" xfId="0" applyNumberFormat="1" applyFont="1" applyBorder="1"/>
    <xf numFmtId="0" fontId="2" fillId="0" borderId="0" xfId="0" applyFont="1" applyAlignment="1">
      <alignment horizontal="left" vertical="top"/>
    </xf>
    <xf numFmtId="0" fontId="2" fillId="0" borderId="0" xfId="0" applyFont="1" applyAlignment="1">
      <alignment horizontal="center" vertical="top"/>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6" fillId="3" borderId="1" xfId="0" applyFont="1" applyFill="1" applyBorder="1" applyAlignment="1">
      <alignment horizontal="center" vertical="top" wrapText="1"/>
    </xf>
    <xf numFmtId="0" fontId="7" fillId="0" borderId="1" xfId="0" applyFont="1" applyBorder="1" applyAlignment="1">
      <alignment horizontal="center" vertical="top"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2" fillId="0" borderId="1" xfId="0" applyFont="1" applyBorder="1" applyAlignment="1">
      <alignment horizontal="center" wrapText="1"/>
    </xf>
    <xf numFmtId="165" fontId="4" fillId="0" borderId="1" xfId="0" applyNumberFormat="1" applyFont="1" applyBorder="1" applyAlignment="1">
      <alignment horizontal="center" vertical="top" wrapText="1"/>
    </xf>
    <xf numFmtId="165" fontId="2" fillId="0" borderId="1" xfId="0" applyNumberFormat="1" applyFont="1" applyBorder="1" applyAlignment="1">
      <alignment horizontal="center" wrapText="1"/>
    </xf>
    <xf numFmtId="0" fontId="4" fillId="0" borderId="1" xfId="0" applyFont="1" applyBorder="1" applyAlignment="1">
      <alignment horizontal="left" vertical="top" wrapText="1"/>
    </xf>
    <xf numFmtId="166" fontId="4" fillId="0" borderId="1" xfId="0" applyNumberFormat="1" applyFont="1" applyBorder="1" applyAlignment="1">
      <alignment horizontal="left" vertical="top" wrapText="1"/>
    </xf>
    <xf numFmtId="165" fontId="2" fillId="0" borderId="1" xfId="0" applyNumberFormat="1" applyFont="1" applyBorder="1" applyAlignment="1">
      <alignment horizontal="center" vertical="top" shrinkToFit="1"/>
    </xf>
    <xf numFmtId="165" fontId="8" fillId="0" borderId="1" xfId="0" applyNumberFormat="1" applyFont="1" applyBorder="1" applyAlignment="1">
      <alignment horizontal="center" vertical="top" shrinkToFit="1"/>
    </xf>
    <xf numFmtId="0" fontId="6" fillId="0" borderId="1" xfId="0" applyFont="1" applyBorder="1" applyAlignment="1">
      <alignment horizontal="left" wrapText="1"/>
    </xf>
    <xf numFmtId="166" fontId="6" fillId="0" borderId="1" xfId="0" applyNumberFormat="1" applyFont="1" applyBorder="1" applyAlignment="1">
      <alignment horizontal="left" wrapText="1"/>
    </xf>
    <xf numFmtId="165" fontId="6" fillId="0" borderId="1" xfId="0" applyNumberFormat="1" applyFont="1" applyBorder="1" applyAlignment="1">
      <alignment horizontal="center" wrapText="1"/>
    </xf>
    <xf numFmtId="166" fontId="5" fillId="0" borderId="1" xfId="0" applyNumberFormat="1" applyFont="1" applyBorder="1" applyAlignment="1">
      <alignment horizontal="left" vertical="top" wrapText="1"/>
    </xf>
    <xf numFmtId="165" fontId="5" fillId="0" borderId="1" xfId="0" applyNumberFormat="1" applyFont="1" applyBorder="1" applyAlignment="1">
      <alignment horizontal="center" vertical="top" wrapText="1"/>
    </xf>
    <xf numFmtId="165" fontId="6" fillId="0" borderId="1" xfId="0" applyNumberFormat="1" applyFont="1" applyBorder="1" applyAlignment="1">
      <alignment horizontal="center" vertical="top" shrinkToFit="1"/>
    </xf>
    <xf numFmtId="165" fontId="2" fillId="0" borderId="1" xfId="0" applyNumberFormat="1" applyFont="1" applyBorder="1" applyAlignment="1">
      <alignment horizontal="center" vertical="top"/>
    </xf>
    <xf numFmtId="0" fontId="2" fillId="0" borderId="1" xfId="0" applyFont="1" applyBorder="1" applyAlignment="1">
      <alignment horizontal="left" wrapText="1"/>
    </xf>
    <xf numFmtId="165" fontId="2" fillId="0" borderId="0" xfId="0" applyNumberFormat="1" applyFont="1" applyAlignment="1">
      <alignment horizontal="center" vertical="top"/>
    </xf>
    <xf numFmtId="0" fontId="0" fillId="0" borderId="0" xfId="0" applyAlignment="1">
      <alignment horizontal="center"/>
    </xf>
    <xf numFmtId="0" fontId="3" fillId="0" borderId="1" xfId="0" applyFont="1" applyBorder="1" applyAlignment="1">
      <alignment horizontal="center"/>
    </xf>
    <xf numFmtId="0" fontId="0" fillId="0" borderId="1" xfId="0" applyBorder="1" applyAlignment="1">
      <alignment horizontal="center"/>
    </xf>
    <xf numFmtId="3" fontId="0" fillId="0" borderId="1" xfId="0" applyNumberFormat="1" applyBorder="1" applyAlignment="1">
      <alignment horizontal="center"/>
    </xf>
    <xf numFmtId="2" fontId="0" fillId="0" borderId="1" xfId="0" applyNumberFormat="1" applyBorder="1" applyAlignment="1">
      <alignment horizontal="center"/>
    </xf>
    <xf numFmtId="3" fontId="0" fillId="0" borderId="0" xfId="0" applyNumberFormat="1" applyAlignment="1">
      <alignment horizontal="center"/>
    </xf>
    <xf numFmtId="0" fontId="3" fillId="0" borderId="0" xfId="0" applyFont="1" applyAlignment="1">
      <alignment horizontal="left"/>
    </xf>
    <xf numFmtId="3" fontId="3" fillId="0" borderId="0" xfId="0" applyNumberFormat="1" applyFont="1" applyAlignment="1">
      <alignment horizontal="left"/>
    </xf>
    <xf numFmtId="0" fontId="3" fillId="0" borderId="0" xfId="0" applyFont="1" applyAlignment="1">
      <alignment horizontal="center"/>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165" fontId="0" fillId="0" borderId="1" xfId="0" applyNumberFormat="1" applyBorder="1" applyAlignment="1">
      <alignment horizontal="center"/>
    </xf>
    <xf numFmtId="0" fontId="3" fillId="0" borderId="0" xfId="0" applyFont="1" applyAlignment="1">
      <alignment horizontal="left" vertical="center" wrapText="1"/>
    </xf>
    <xf numFmtId="0" fontId="0" fillId="0" borderId="0" xfId="0" applyAlignment="1">
      <alignment horizontal="left"/>
    </xf>
    <xf numFmtId="3" fontId="0" fillId="0" borderId="1" xfId="0" applyNumberFormat="1" applyBorder="1" applyAlignment="1">
      <alignment horizontal="center" vertical="center" wrapText="1"/>
    </xf>
    <xf numFmtId="2" fontId="0" fillId="0" borderId="1" xfId="0" applyNumberFormat="1" applyBorder="1" applyAlignment="1">
      <alignment horizontal="center" vertical="center" wrapText="1"/>
    </xf>
    <xf numFmtId="0" fontId="0" fillId="0" borderId="0" xfId="0" applyAlignment="1">
      <alignment horizontal="center" vertical="center" wrapText="1"/>
    </xf>
    <xf numFmtId="3" fontId="0" fillId="0" borderId="0" xfId="0" applyNumberFormat="1" applyAlignment="1">
      <alignment horizontal="center" vertical="center" wrapText="1"/>
    </xf>
    <xf numFmtId="10" fontId="0" fillId="0" borderId="1" xfId="0" applyNumberFormat="1" applyBorder="1" applyAlignment="1">
      <alignment horizontal="center" vertical="center" wrapText="1"/>
    </xf>
    <xf numFmtId="10" fontId="0" fillId="0" borderId="0" xfId="0" applyNumberFormat="1" applyAlignment="1">
      <alignment horizontal="center" vertical="center" wrapText="1"/>
    </xf>
    <xf numFmtId="9" fontId="0" fillId="0" borderId="1" xfId="0" applyNumberFormat="1" applyBorder="1" applyAlignment="1">
      <alignment horizontal="center" vertical="center" wrapText="1"/>
    </xf>
    <xf numFmtId="165" fontId="10" fillId="0" borderId="1" xfId="0" applyNumberFormat="1" applyFont="1" applyBorder="1" applyAlignment="1">
      <alignment horizontal="center" vertical="center" wrapText="1"/>
    </xf>
    <xf numFmtId="165" fontId="11" fillId="0" borderId="0" xfId="0" applyNumberFormat="1" applyFont="1" applyAlignment="1">
      <alignment horizontal="left" vertical="top"/>
    </xf>
    <xf numFmtId="165" fontId="12" fillId="0" borderId="1" xfId="0" applyNumberFormat="1" applyFont="1" applyBorder="1" applyAlignment="1">
      <alignment horizontal="left" vertical="top" wrapText="1"/>
    </xf>
    <xf numFmtId="0" fontId="2" fillId="0" borderId="1" xfId="0" applyFont="1" applyBorder="1" applyAlignment="1">
      <alignment horizontal="left" vertical="top"/>
    </xf>
    <xf numFmtId="165" fontId="11" fillId="0" borderId="1" xfId="0" applyNumberFormat="1" applyFont="1" applyBorder="1" applyAlignment="1">
      <alignment horizontal="left" vertical="top"/>
    </xf>
    <xf numFmtId="0" fontId="14" fillId="0" borderId="1" xfId="0" applyFont="1" applyBorder="1" applyAlignment="1">
      <alignment horizontal="center" wrapText="1"/>
    </xf>
    <xf numFmtId="0" fontId="0" fillId="0" borderId="1" xfId="0" applyBorder="1" applyAlignment="1">
      <alignment horizontal="center" vertical="top" wrapText="1"/>
    </xf>
    <xf numFmtId="165" fontId="10" fillId="0" borderId="0" xfId="0" applyNumberFormat="1" applyFont="1" applyAlignment="1">
      <alignment horizontal="center"/>
    </xf>
    <xf numFmtId="165" fontId="3" fillId="0" borderId="1" xfId="0" applyNumberFormat="1" applyFont="1" applyBorder="1" applyAlignment="1">
      <alignment horizontal="center"/>
    </xf>
    <xf numFmtId="164" fontId="0" fillId="0" borderId="1" xfId="0" applyNumberFormat="1" applyBorder="1" applyAlignment="1">
      <alignment horizontal="center" vertical="center" wrapText="1"/>
    </xf>
    <xf numFmtId="0" fontId="23" fillId="0" borderId="1" xfId="0" applyFont="1" applyBorder="1"/>
    <xf numFmtId="0" fontId="1" fillId="0" borderId="1" xfId="0" applyFont="1" applyBorder="1"/>
    <xf numFmtId="0" fontId="24" fillId="2" borderId="1" xfId="0" applyFont="1" applyFill="1" applyBorder="1" applyAlignment="1">
      <alignment horizontal="center"/>
    </xf>
    <xf numFmtId="0" fontId="25" fillId="0" borderId="1" xfId="0" applyFont="1" applyBorder="1"/>
    <xf numFmtId="3" fontId="1" fillId="0" borderId="1" xfId="0" applyNumberFormat="1" applyFont="1" applyBorder="1"/>
    <xf numFmtId="2" fontId="1" fillId="0" borderId="1" xfId="0" applyNumberFormat="1" applyFont="1" applyBorder="1"/>
    <xf numFmtId="2" fontId="23" fillId="0" borderId="1" xfId="0" applyNumberFormat="1" applyFont="1" applyBorder="1"/>
    <xf numFmtId="164" fontId="1" fillId="0" borderId="1" xfId="0" applyNumberFormat="1" applyFont="1" applyBorder="1"/>
    <xf numFmtId="0" fontId="24" fillId="0" borderId="1" xfId="0" applyFont="1" applyBorder="1" applyAlignment="1">
      <alignment horizontal="center"/>
    </xf>
    <xf numFmtId="0" fontId="0" fillId="0" borderId="1" xfId="0" applyBorder="1"/>
    <xf numFmtId="0" fontId="16" fillId="0" borderId="1" xfId="0" applyFont="1" applyBorder="1"/>
    <xf numFmtId="164" fontId="0" fillId="0" borderId="1" xfId="0" applyNumberFormat="1" applyBorder="1"/>
    <xf numFmtId="2" fontId="0" fillId="0" borderId="1" xfId="0" applyNumberFormat="1" applyBorder="1"/>
    <xf numFmtId="0" fontId="26" fillId="0" borderId="1" xfId="0" applyFont="1" applyBorder="1" applyAlignment="1">
      <alignment horizontal="center"/>
    </xf>
    <xf numFmtId="0" fontId="18" fillId="0" borderId="1" xfId="0" applyFont="1" applyBorder="1"/>
    <xf numFmtId="164" fontId="19" fillId="4" borderId="1" xfId="0" applyNumberFormat="1" applyFont="1" applyFill="1" applyBorder="1"/>
    <xf numFmtId="167" fontId="20" fillId="0" borderId="1" xfId="0" applyNumberFormat="1" applyFont="1" applyBorder="1"/>
    <xf numFmtId="167" fontId="0" fillId="0" borderId="1" xfId="0" applyNumberFormat="1" applyBorder="1"/>
    <xf numFmtId="0" fontId="28" fillId="0" borderId="1" xfId="0" applyFont="1" applyBorder="1"/>
    <xf numFmtId="0" fontId="28" fillId="0" borderId="1" xfId="0" applyFont="1" applyBorder="1" applyAlignment="1">
      <alignment horizontal="center" wrapText="1"/>
    </xf>
    <xf numFmtId="164" fontId="18" fillId="0" borderId="1" xfId="0" applyNumberFormat="1" applyFont="1" applyBorder="1"/>
    <xf numFmtId="164" fontId="19" fillId="4" borderId="1" xfId="0" applyNumberFormat="1" applyFont="1" applyFill="1" applyBorder="1" applyAlignment="1">
      <alignment horizontal="center"/>
    </xf>
    <xf numFmtId="164" fontId="0" fillId="0" borderId="1" xfId="0" applyNumberFormat="1" applyBorder="1" applyAlignment="1">
      <alignment horizontal="center"/>
    </xf>
    <xf numFmtId="164" fontId="18" fillId="0" borderId="1" xfId="0" applyNumberFormat="1" applyFont="1" applyBorder="1" applyAlignment="1">
      <alignment horizontal="center"/>
    </xf>
    <xf numFmtId="0" fontId="28" fillId="0" borderId="1" xfId="0" applyFont="1" applyBorder="1" applyAlignment="1">
      <alignment horizontal="center"/>
    </xf>
    <xf numFmtId="167" fontId="0" fillId="0" borderId="1" xfId="0" applyNumberFormat="1" applyBorder="1" applyAlignment="1">
      <alignment horizontal="center"/>
    </xf>
    <xf numFmtId="168" fontId="0" fillId="0" borderId="1" xfId="0" applyNumberFormat="1" applyBorder="1" applyAlignment="1">
      <alignment horizontal="center"/>
    </xf>
    <xf numFmtId="167" fontId="18" fillId="0" borderId="1" xfId="0" applyNumberFormat="1" applyFont="1" applyBorder="1" applyAlignment="1">
      <alignment horizontal="center"/>
    </xf>
    <xf numFmtId="0" fontId="19" fillId="4" borderId="1" xfId="0" applyFont="1" applyFill="1" applyBorder="1" applyAlignment="1">
      <alignment horizontal="center"/>
    </xf>
    <xf numFmtId="4" fontId="18" fillId="0" borderId="1" xfId="0" applyNumberFormat="1" applyFont="1" applyBorder="1" applyAlignment="1">
      <alignment horizontal="center"/>
    </xf>
    <xf numFmtId="4" fontId="0" fillId="0" borderId="1" xfId="0" applyNumberFormat="1" applyBorder="1" applyAlignment="1">
      <alignment horizontal="center"/>
    </xf>
    <xf numFmtId="164" fontId="20" fillId="0" borderId="1" xfId="0" applyNumberFormat="1" applyFont="1" applyBorder="1" applyAlignment="1">
      <alignment horizontal="center"/>
    </xf>
    <xf numFmtId="169" fontId="19" fillId="4" borderId="1" xfId="0" applyNumberFormat="1" applyFont="1" applyFill="1" applyBorder="1" applyAlignment="1">
      <alignment horizontal="center"/>
    </xf>
    <xf numFmtId="3" fontId="0" fillId="0" borderId="1" xfId="0" applyNumberFormat="1" applyBorder="1"/>
    <xf numFmtId="0" fontId="29" fillId="0" borderId="1" xfId="0" applyFont="1" applyBorder="1"/>
    <xf numFmtId="10" fontId="0" fillId="0" borderId="1" xfId="0" applyNumberFormat="1" applyBorder="1"/>
    <xf numFmtId="0" fontId="6" fillId="0" borderId="1" xfId="0" applyFont="1" applyBorder="1" applyAlignment="1">
      <alignment horizontal="left" vertical="top" wrapText="1" indent="5"/>
    </xf>
    <xf numFmtId="0" fontId="9" fillId="0" borderId="0" xfId="0" applyFont="1" applyAlignment="1">
      <alignment horizontal="left" vertical="top" wrapText="1" indent="6"/>
    </xf>
    <xf numFmtId="0" fontId="13" fillId="0" borderId="1" xfId="0" applyFont="1" applyBorder="1" applyAlignment="1">
      <alignment horizontal="center"/>
    </xf>
    <xf numFmtId="0" fontId="21" fillId="0" borderId="1" xfId="0" applyFont="1" applyBorder="1" applyAlignment="1">
      <alignment vertical="top" wrapText="1"/>
    </xf>
    <xf numFmtId="0" fontId="22" fillId="0" borderId="1" xfId="0" applyFont="1" applyBorder="1" applyAlignment="1">
      <alignment vertical="top" wrapText="1"/>
    </xf>
    <xf numFmtId="0" fontId="15" fillId="0" borderId="1" xfId="0" applyFont="1" applyBorder="1"/>
    <xf numFmtId="0" fontId="17" fillId="0" borderId="1" xfId="0" applyFont="1" applyBorder="1"/>
    <xf numFmtId="0" fontId="15" fillId="0" borderId="0" xfId="0" applyFont="1" applyAlignment="1">
      <alignment horizontal="center"/>
    </xf>
    <xf numFmtId="0" fontId="27" fillId="0" borderId="1" xfId="0" applyFont="1" applyBorder="1" applyAlignment="1">
      <alignment vertical="top" wrapText="1"/>
    </xf>
    <xf numFmtId="0" fontId="27" fillId="0" borderId="1" xfId="0" applyFont="1" applyBorder="1"/>
    <xf numFmtId="0" fontId="27" fillId="0" borderId="1" xfId="0" applyFont="1" applyBorder="1" applyAlignment="1">
      <alignment wrapText="1"/>
    </xf>
  </cellXfs>
  <cellStyles count="1">
    <cellStyle name="Normal" xfId="0" builtinId="0"/>
  </cellStyles>
  <dxfs count="20">
    <dxf>
      <fill>
        <patternFill>
          <bgColor rgb="FFC6EFCE"/>
        </patternFill>
      </fill>
    </dxf>
    <dxf>
      <fill>
        <patternFill>
          <bgColor rgb="FFFFC7CE"/>
        </patternFill>
      </fill>
    </dxf>
    <dxf>
      <fill>
        <patternFill>
          <bgColor rgb="FF63BE7B"/>
        </patternFill>
      </fill>
    </dxf>
    <dxf>
      <fill>
        <patternFill>
          <bgColor rgb="FFFFEB84"/>
        </patternFill>
      </fill>
    </dxf>
    <dxf>
      <fill>
        <patternFill>
          <bgColor rgb="FFF8696B"/>
        </patternFill>
      </fill>
    </dxf>
    <dxf>
      <fill>
        <patternFill>
          <bgColor rgb="FF63BE7B"/>
        </patternFill>
      </fill>
    </dxf>
    <dxf>
      <fill>
        <patternFill>
          <bgColor rgb="FFFFEB84"/>
        </patternFill>
      </fill>
    </dxf>
    <dxf>
      <fill>
        <patternFill>
          <bgColor rgb="FFF8696B"/>
        </patternFill>
      </fill>
    </dxf>
    <dxf>
      <fill>
        <patternFill>
          <bgColor rgb="FF63BE7B"/>
        </patternFill>
      </fill>
    </dxf>
    <dxf>
      <fill>
        <patternFill>
          <bgColor rgb="FFFFEB84"/>
        </patternFill>
      </fill>
    </dxf>
    <dxf>
      <fill>
        <patternFill>
          <bgColor rgb="FFF8696B"/>
        </patternFill>
      </fill>
    </dxf>
    <dxf>
      <fill>
        <patternFill>
          <bgColor rgb="FF63BE7B"/>
        </patternFill>
      </fill>
    </dxf>
    <dxf>
      <fill>
        <patternFill>
          <bgColor rgb="FFFFEB84"/>
        </patternFill>
      </fill>
    </dxf>
    <dxf>
      <fill>
        <patternFill>
          <bgColor rgb="FFF8696B"/>
        </patternFill>
      </fill>
    </dxf>
    <dxf>
      <fill>
        <patternFill>
          <bgColor rgb="FF63BE7B"/>
        </patternFill>
      </fill>
    </dxf>
    <dxf>
      <fill>
        <patternFill>
          <bgColor rgb="FFFFEB84"/>
        </patternFill>
      </fill>
    </dxf>
    <dxf>
      <fill>
        <patternFill>
          <bgColor rgb="FFF8696B"/>
        </patternFill>
      </fill>
    </dxf>
    <dxf>
      <fill>
        <patternFill>
          <bgColor rgb="FF63BE7B"/>
        </patternFill>
      </fill>
    </dxf>
    <dxf>
      <fill>
        <patternFill>
          <bgColor rgb="FFFFEB84"/>
        </patternFill>
      </fill>
    </dxf>
    <dxf>
      <fill>
        <patternFill>
          <bgColor rgb="FFF8696B"/>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8696B"/>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84"/>
      <rgbColor rgb="FF99CCFF"/>
      <rgbColor rgb="FFFF99CC"/>
      <rgbColor rgb="FFCC99FF"/>
      <rgbColor rgb="FFFFC7CE"/>
      <rgbColor rgb="FF3366FF"/>
      <rgbColor rgb="FF63BE7B"/>
      <rgbColor rgb="FF99CC00"/>
      <rgbColor rgb="FFFFCC00"/>
      <rgbColor rgb="FFFF9900"/>
      <rgbColor rgb="FFFF6600"/>
      <rgbColor rgb="FF595959"/>
      <rgbColor rgb="FFB3B3B3"/>
      <rgbColor rgb="FF003366"/>
      <rgbColor rgb="FF339966"/>
      <rgbColor rgb="FF003300"/>
      <rgbColor rgb="FF333300"/>
      <rgbColor rgb="FF993300"/>
      <rgbColor rgb="FF993366"/>
      <rgbColor rgb="FF1F4E78"/>
      <rgbColor rgb="FF4D4D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ZA" sz="1800" b="1" strike="noStrike" spc="-1">
                <a:solidFill>
                  <a:srgbClr val="000000"/>
                </a:solidFill>
                <a:latin typeface="Calibri"/>
              </a:rPr>
              <a:t>Revenue Trend (Rm)</a:t>
            </a:r>
          </a:p>
        </c:rich>
      </c:tx>
      <c:overlay val="0"/>
      <c:spPr>
        <a:noFill/>
        <a:ln w="0">
          <a:noFill/>
        </a:ln>
      </c:spPr>
    </c:title>
    <c:autoTitleDeleted val="0"/>
    <c:plotArea>
      <c:layout/>
      <c:lineChart>
        <c:grouping val="standard"/>
        <c:varyColors val="0"/>
        <c:ser>
          <c:idx val="0"/>
          <c:order val="0"/>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Dashboard!$B$5</c:f>
              <c:numCache>
                <c:formatCode>#,##0</c:formatCode>
                <c:ptCount val="1"/>
                <c:pt idx="0">
                  <c:v>97938</c:v>
                </c:pt>
              </c:numCache>
            </c:numRef>
          </c:val>
          <c:smooth val="1"/>
          <c:extLst>
            <c:ext xmlns:c16="http://schemas.microsoft.com/office/drawing/2014/chart" uri="{C3380CC4-5D6E-409C-BE32-E72D297353CC}">
              <c16:uniqueId val="{00000000-24DD-4021-AE14-F6C25C8247D4}"/>
            </c:ext>
          </c:extLst>
        </c:ser>
        <c:ser>
          <c:idx val="1"/>
          <c:order val="1"/>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Dashboard!$C$5</c:f>
              <c:numCache>
                <c:formatCode>#,##0</c:formatCode>
                <c:ptCount val="1"/>
                <c:pt idx="0">
                  <c:v>117364</c:v>
                </c:pt>
              </c:numCache>
            </c:numRef>
          </c:val>
          <c:smooth val="1"/>
          <c:extLst>
            <c:ext xmlns:c16="http://schemas.microsoft.com/office/drawing/2014/chart" uri="{C3380CC4-5D6E-409C-BE32-E72D297353CC}">
              <c16:uniqueId val="{00000001-24DD-4021-AE14-F6C25C8247D4}"/>
            </c:ext>
          </c:extLst>
        </c:ser>
        <c:ser>
          <c:idx val="2"/>
          <c:order val="2"/>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Dashboard!$D$5</c:f>
              <c:numCache>
                <c:formatCode>#,##0</c:formatCode>
                <c:ptCount val="1"/>
                <c:pt idx="0">
                  <c:v>43445</c:v>
                </c:pt>
              </c:numCache>
            </c:numRef>
          </c:val>
          <c:smooth val="1"/>
          <c:extLst>
            <c:ext xmlns:c16="http://schemas.microsoft.com/office/drawing/2014/chart" uri="{C3380CC4-5D6E-409C-BE32-E72D297353CC}">
              <c16:uniqueId val="{00000002-24DD-4021-AE14-F6C25C8247D4}"/>
            </c:ext>
          </c:extLst>
        </c:ser>
        <c:ser>
          <c:idx val="3"/>
          <c:order val="3"/>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Dashboard!$E$5</c:f>
              <c:numCache>
                <c:formatCode>#,##0</c:formatCode>
                <c:ptCount val="1"/>
                <c:pt idx="0">
                  <c:v>99848</c:v>
                </c:pt>
              </c:numCache>
            </c:numRef>
          </c:val>
          <c:smooth val="1"/>
          <c:extLst>
            <c:ext xmlns:c16="http://schemas.microsoft.com/office/drawing/2014/chart" uri="{C3380CC4-5D6E-409C-BE32-E72D297353CC}">
              <c16:uniqueId val="{00000003-24DD-4021-AE14-F6C25C8247D4}"/>
            </c:ext>
          </c:extLst>
        </c:ser>
        <c:ser>
          <c:idx val="4"/>
          <c:order val="4"/>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Dashboard!$F$5</c:f>
              <c:numCache>
                <c:formatCode>#,##0</c:formatCode>
                <c:ptCount val="1"/>
                <c:pt idx="0">
                  <c:v>187095</c:v>
                </c:pt>
              </c:numCache>
            </c:numRef>
          </c:val>
          <c:smooth val="1"/>
          <c:extLst>
            <c:ext xmlns:c16="http://schemas.microsoft.com/office/drawing/2014/chart" uri="{C3380CC4-5D6E-409C-BE32-E72D297353CC}">
              <c16:uniqueId val="{00000004-24DD-4021-AE14-F6C25C8247D4}"/>
            </c:ext>
          </c:extLst>
        </c:ser>
        <c:ser>
          <c:idx val="5"/>
          <c:order val="5"/>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Dashboard!$G$5</c:f>
              <c:numCache>
                <c:formatCode>#,##0</c:formatCode>
                <c:ptCount val="1"/>
                <c:pt idx="0">
                  <c:v>200477</c:v>
                </c:pt>
              </c:numCache>
            </c:numRef>
          </c:val>
          <c:smooth val="1"/>
          <c:extLst>
            <c:ext xmlns:c16="http://schemas.microsoft.com/office/drawing/2014/chart" uri="{C3380CC4-5D6E-409C-BE32-E72D297353CC}">
              <c16:uniqueId val="{00000005-24DD-4021-AE14-F6C25C8247D4}"/>
            </c:ext>
          </c:extLst>
        </c:ser>
        <c:dLbls>
          <c:showLegendKey val="0"/>
          <c:showVal val="0"/>
          <c:showCatName val="0"/>
          <c:showSerName val="0"/>
          <c:showPercent val="0"/>
          <c:showBubbleSize val="0"/>
        </c:dLbls>
        <c:hiLowLines>
          <c:spPr>
            <a:ln w="0">
              <a:noFill/>
            </a:ln>
          </c:spPr>
        </c:hiLowLines>
        <c:smooth val="0"/>
        <c:axId val="79462241"/>
        <c:axId val="68166504"/>
      </c:lineChart>
      <c:catAx>
        <c:axId val="79462241"/>
        <c:scaling>
          <c:orientation val="minMax"/>
        </c:scaling>
        <c:delete val="0"/>
        <c:axPos val="b"/>
        <c:title>
          <c:tx>
            <c:rich>
              <a:bodyPr rot="0"/>
              <a:lstStyle/>
              <a:p>
                <a:pPr>
                  <a:defRPr sz="1000" b="1" strike="noStrike" spc="-1">
                    <a:solidFill>
                      <a:srgbClr val="000000"/>
                    </a:solidFill>
                    <a:latin typeface="Calibri"/>
                  </a:defRPr>
                </a:pPr>
                <a:r>
                  <a:rPr lang="en-ZA" sz="1000" b="1" strike="noStrike" spc="-1">
                    <a:solidFill>
                      <a:srgbClr val="000000"/>
                    </a:solidFill>
                    <a:latin typeface="Calibri"/>
                  </a:rPr>
                  <a:t>Financial Year</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8166504"/>
        <c:crosses val="autoZero"/>
        <c:auto val="1"/>
        <c:lblAlgn val="ctr"/>
        <c:lblOffset val="100"/>
        <c:noMultiLvlLbl val="0"/>
      </c:catAx>
      <c:valAx>
        <c:axId val="68166504"/>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ZA" sz="1000" b="1" strike="noStrike" spc="-1">
                    <a:solidFill>
                      <a:srgbClr val="000000"/>
                    </a:solidFill>
                    <a:latin typeface="Calibri"/>
                  </a:rPr>
                  <a:t>Rm</a:t>
                </a:r>
              </a:p>
            </c:rich>
          </c:tx>
          <c:overlay val="0"/>
          <c:spPr>
            <a:noFill/>
            <a:ln w="0">
              <a:noFill/>
            </a:ln>
          </c:spPr>
        </c:title>
        <c:numFmt formatCode="#,##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946224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ZA" sz="1800" b="1" strike="noStrike" spc="-1">
                <a:solidFill>
                  <a:srgbClr val="000000"/>
                </a:solidFill>
                <a:latin typeface="Calibri"/>
              </a:rPr>
              <a:t>Current Ratio Trend (Liquidity)</a:t>
            </a:r>
          </a:p>
        </c:rich>
      </c:tx>
      <c:overlay val="0"/>
      <c:spPr>
        <a:noFill/>
        <a:ln w="0">
          <a:noFill/>
        </a:ln>
      </c:spPr>
    </c:title>
    <c:autoTitleDeleted val="0"/>
    <c:plotArea>
      <c:layout/>
      <c:lineChart>
        <c:grouping val="standard"/>
        <c:varyColors val="0"/>
        <c:ser>
          <c:idx val="0"/>
          <c:order val="0"/>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Dashboard!$B$6</c:f>
              <c:numCache>
                <c:formatCode>0.00</c:formatCode>
                <c:ptCount val="1"/>
                <c:pt idx="0">
                  <c:v>1.2447367105065761</c:v>
                </c:pt>
              </c:numCache>
            </c:numRef>
          </c:val>
          <c:smooth val="1"/>
          <c:extLst>
            <c:ext xmlns:c16="http://schemas.microsoft.com/office/drawing/2014/chart" uri="{C3380CC4-5D6E-409C-BE32-E72D297353CC}">
              <c16:uniqueId val="{00000000-C44B-4976-9FB3-29E8554F33FD}"/>
            </c:ext>
          </c:extLst>
        </c:ser>
        <c:ser>
          <c:idx val="1"/>
          <c:order val="1"/>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Dashboard!$C$6</c:f>
              <c:numCache>
                <c:formatCode>0.00</c:formatCode>
                <c:ptCount val="1"/>
                <c:pt idx="0">
                  <c:v>1.4526620677456443</c:v>
                </c:pt>
              </c:numCache>
            </c:numRef>
          </c:val>
          <c:smooth val="1"/>
          <c:extLst>
            <c:ext xmlns:c16="http://schemas.microsoft.com/office/drawing/2014/chart" uri="{C3380CC4-5D6E-409C-BE32-E72D297353CC}">
              <c16:uniqueId val="{00000001-C44B-4976-9FB3-29E8554F33FD}"/>
            </c:ext>
          </c:extLst>
        </c:ser>
        <c:ser>
          <c:idx val="2"/>
          <c:order val="2"/>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Dashboard!$D$6</c:f>
              <c:numCache>
                <c:formatCode>0.00</c:formatCode>
                <c:ptCount val="1"/>
                <c:pt idx="0">
                  <c:v>0.44687286648864</c:v>
                </c:pt>
              </c:numCache>
            </c:numRef>
          </c:val>
          <c:smooth val="1"/>
          <c:extLst>
            <c:ext xmlns:c16="http://schemas.microsoft.com/office/drawing/2014/chart" uri="{C3380CC4-5D6E-409C-BE32-E72D297353CC}">
              <c16:uniqueId val="{00000002-C44B-4976-9FB3-29E8554F33FD}"/>
            </c:ext>
          </c:extLst>
        </c:ser>
        <c:ser>
          <c:idx val="3"/>
          <c:order val="3"/>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Dashboard!$E$6</c:f>
              <c:numCache>
                <c:formatCode>0.00</c:formatCode>
                <c:ptCount val="1"/>
                <c:pt idx="0">
                  <c:v>0.91787788821479277</c:v>
                </c:pt>
              </c:numCache>
            </c:numRef>
          </c:val>
          <c:smooth val="1"/>
          <c:extLst>
            <c:ext xmlns:c16="http://schemas.microsoft.com/office/drawing/2014/chart" uri="{C3380CC4-5D6E-409C-BE32-E72D297353CC}">
              <c16:uniqueId val="{00000003-C44B-4976-9FB3-29E8554F33FD}"/>
            </c:ext>
          </c:extLst>
        </c:ser>
        <c:ser>
          <c:idx val="4"/>
          <c:order val="4"/>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Dashboard!$F$6</c:f>
              <c:numCache>
                <c:formatCode>0.00</c:formatCode>
                <c:ptCount val="1"/>
                <c:pt idx="0">
                  <c:v>0.31658112346735101</c:v>
                </c:pt>
              </c:numCache>
            </c:numRef>
          </c:val>
          <c:smooth val="1"/>
          <c:extLst>
            <c:ext xmlns:c16="http://schemas.microsoft.com/office/drawing/2014/chart" uri="{C3380CC4-5D6E-409C-BE32-E72D297353CC}">
              <c16:uniqueId val="{00000004-C44B-4976-9FB3-29E8554F33FD}"/>
            </c:ext>
          </c:extLst>
        </c:ser>
        <c:ser>
          <c:idx val="5"/>
          <c:order val="5"/>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Dashboard!$G$6</c:f>
              <c:numCache>
                <c:formatCode>0.00</c:formatCode>
                <c:ptCount val="1"/>
                <c:pt idx="0">
                  <c:v>0.53474178403755868</c:v>
                </c:pt>
              </c:numCache>
            </c:numRef>
          </c:val>
          <c:smooth val="1"/>
          <c:extLst>
            <c:ext xmlns:c16="http://schemas.microsoft.com/office/drawing/2014/chart" uri="{C3380CC4-5D6E-409C-BE32-E72D297353CC}">
              <c16:uniqueId val="{00000005-C44B-4976-9FB3-29E8554F33FD}"/>
            </c:ext>
          </c:extLst>
        </c:ser>
        <c:dLbls>
          <c:showLegendKey val="0"/>
          <c:showVal val="0"/>
          <c:showCatName val="0"/>
          <c:showSerName val="0"/>
          <c:showPercent val="0"/>
          <c:showBubbleSize val="0"/>
        </c:dLbls>
        <c:hiLowLines>
          <c:spPr>
            <a:ln w="0">
              <a:noFill/>
            </a:ln>
          </c:spPr>
        </c:hiLowLines>
        <c:smooth val="0"/>
        <c:axId val="26549632"/>
        <c:axId val="17271669"/>
      </c:lineChart>
      <c:catAx>
        <c:axId val="26549632"/>
        <c:scaling>
          <c:orientation val="minMax"/>
        </c:scaling>
        <c:delete val="0"/>
        <c:axPos val="b"/>
        <c:title>
          <c:tx>
            <c:rich>
              <a:bodyPr rot="0"/>
              <a:lstStyle/>
              <a:p>
                <a:pPr>
                  <a:defRPr sz="1000" b="1" strike="noStrike" spc="-1">
                    <a:solidFill>
                      <a:srgbClr val="000000"/>
                    </a:solidFill>
                    <a:latin typeface="Calibri"/>
                  </a:defRPr>
                </a:pPr>
                <a:r>
                  <a:rPr lang="en-ZA" sz="1000" b="1" strike="noStrike" spc="-1">
                    <a:solidFill>
                      <a:srgbClr val="000000"/>
                    </a:solidFill>
                    <a:latin typeface="Calibri"/>
                  </a:rPr>
                  <a:t>Financial Year</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7271669"/>
        <c:crosses val="autoZero"/>
        <c:auto val="1"/>
        <c:lblAlgn val="ctr"/>
        <c:lblOffset val="100"/>
        <c:noMultiLvlLbl val="0"/>
      </c:catAx>
      <c:valAx>
        <c:axId val="17271669"/>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ZA" sz="1000" b="1" strike="noStrike" spc="-1">
                    <a:solidFill>
                      <a:srgbClr val="000000"/>
                    </a:solidFill>
                    <a:latin typeface="Calibri"/>
                  </a:rPr>
                  <a:t>x</a:t>
                </a:r>
              </a:p>
            </c:rich>
          </c:tx>
          <c:overlay val="0"/>
          <c:spPr>
            <a:noFill/>
            <a:ln w="0">
              <a:noFill/>
            </a:ln>
          </c:spPr>
        </c:title>
        <c:numFmt formatCode="0.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654963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ZA" sz="1800" b="1" strike="noStrike" spc="-1">
                <a:solidFill>
                  <a:srgbClr val="000000"/>
                </a:solidFill>
                <a:latin typeface="Calibri"/>
              </a:rPr>
              <a:t>ROA vs ROE (corrected)</a:t>
            </a:r>
          </a:p>
        </c:rich>
      </c:tx>
      <c:overlay val="0"/>
      <c:spPr>
        <a:noFill/>
        <a:ln w="0">
          <a:noFill/>
        </a:ln>
      </c:spPr>
    </c:title>
    <c:autoTitleDeleted val="0"/>
    <c:plotArea>
      <c:layout/>
      <c:lineChart>
        <c:grouping val="standard"/>
        <c:varyColors val="0"/>
        <c:ser>
          <c:idx val="0"/>
          <c:order val="0"/>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Dashboard!$B$7</c:f>
              <c:numCache>
                <c:formatCode>0.0%</c:formatCode>
                <c:ptCount val="1"/>
                <c:pt idx="0">
                  <c:v>4.827728617152436E-2</c:v>
                </c:pt>
              </c:numCache>
            </c:numRef>
          </c:val>
          <c:smooth val="1"/>
          <c:extLst>
            <c:ext xmlns:c16="http://schemas.microsoft.com/office/drawing/2014/chart" uri="{C3380CC4-5D6E-409C-BE32-E72D297353CC}">
              <c16:uniqueId val="{00000000-464D-40A2-B821-51944A075127}"/>
            </c:ext>
          </c:extLst>
        </c:ser>
        <c:ser>
          <c:idx val="1"/>
          <c:order val="1"/>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Dashboard!$C$7</c:f>
              <c:numCache>
                <c:formatCode>0.0%</c:formatCode>
                <c:ptCount val="1"/>
                <c:pt idx="0">
                  <c:v>5.0461484937786509E-2</c:v>
                </c:pt>
              </c:numCache>
            </c:numRef>
          </c:val>
          <c:smooth val="1"/>
          <c:extLst>
            <c:ext xmlns:c16="http://schemas.microsoft.com/office/drawing/2014/chart" uri="{C3380CC4-5D6E-409C-BE32-E72D297353CC}">
              <c16:uniqueId val="{00000001-464D-40A2-B821-51944A075127}"/>
            </c:ext>
          </c:extLst>
        </c:ser>
        <c:ser>
          <c:idx val="2"/>
          <c:order val="2"/>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Dashboard!$D$7</c:f>
              <c:numCache>
                <c:formatCode>0.0%</c:formatCode>
                <c:ptCount val="1"/>
                <c:pt idx="0">
                  <c:v>5.9261559160650984E-2</c:v>
                </c:pt>
              </c:numCache>
            </c:numRef>
          </c:val>
          <c:smooth val="1"/>
          <c:extLst>
            <c:ext xmlns:c16="http://schemas.microsoft.com/office/drawing/2014/chart" uri="{C3380CC4-5D6E-409C-BE32-E72D297353CC}">
              <c16:uniqueId val="{00000002-464D-40A2-B821-51944A075127}"/>
            </c:ext>
          </c:extLst>
        </c:ser>
        <c:ser>
          <c:idx val="3"/>
          <c:order val="3"/>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Dashboard!$E$7</c:f>
              <c:numCache>
                <c:formatCode>0.0%</c:formatCode>
                <c:ptCount val="1"/>
                <c:pt idx="0">
                  <c:v>0.10723468299922657</c:v>
                </c:pt>
              </c:numCache>
            </c:numRef>
          </c:val>
          <c:smooth val="1"/>
          <c:extLst>
            <c:ext xmlns:c16="http://schemas.microsoft.com/office/drawing/2014/chart" uri="{C3380CC4-5D6E-409C-BE32-E72D297353CC}">
              <c16:uniqueId val="{00000003-464D-40A2-B821-51944A075127}"/>
            </c:ext>
          </c:extLst>
        </c:ser>
        <c:ser>
          <c:idx val="4"/>
          <c:order val="4"/>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Dashboard!$F$7</c:f>
              <c:numCache>
                <c:formatCode>0.0%</c:formatCode>
                <c:ptCount val="1"/>
                <c:pt idx="0">
                  <c:v>-3.4312482147957728</c:v>
                </c:pt>
              </c:numCache>
            </c:numRef>
          </c:val>
          <c:smooth val="1"/>
          <c:extLst>
            <c:ext xmlns:c16="http://schemas.microsoft.com/office/drawing/2014/chart" uri="{C3380CC4-5D6E-409C-BE32-E72D297353CC}">
              <c16:uniqueId val="{00000004-464D-40A2-B821-51944A075127}"/>
            </c:ext>
          </c:extLst>
        </c:ser>
        <c:ser>
          <c:idx val="5"/>
          <c:order val="5"/>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Dashboard!$G$7</c:f>
              <c:numCache>
                <c:formatCode>0.0%</c:formatCode>
                <c:ptCount val="1"/>
                <c:pt idx="0">
                  <c:v>-1.1403176542455711</c:v>
                </c:pt>
              </c:numCache>
            </c:numRef>
          </c:val>
          <c:smooth val="1"/>
          <c:extLst>
            <c:ext xmlns:c16="http://schemas.microsoft.com/office/drawing/2014/chart" uri="{C3380CC4-5D6E-409C-BE32-E72D297353CC}">
              <c16:uniqueId val="{00000005-464D-40A2-B821-51944A075127}"/>
            </c:ext>
          </c:extLst>
        </c:ser>
        <c:dLbls>
          <c:showLegendKey val="0"/>
          <c:showVal val="0"/>
          <c:showCatName val="0"/>
          <c:showSerName val="0"/>
          <c:showPercent val="0"/>
          <c:showBubbleSize val="0"/>
        </c:dLbls>
        <c:hiLowLines>
          <c:spPr>
            <a:ln w="0">
              <a:noFill/>
            </a:ln>
          </c:spPr>
        </c:hiLowLines>
        <c:smooth val="0"/>
        <c:axId val="55323277"/>
        <c:axId val="36020176"/>
      </c:lineChart>
      <c:catAx>
        <c:axId val="55323277"/>
        <c:scaling>
          <c:orientation val="minMax"/>
        </c:scaling>
        <c:delete val="0"/>
        <c:axPos val="b"/>
        <c:title>
          <c:tx>
            <c:rich>
              <a:bodyPr rot="0"/>
              <a:lstStyle/>
              <a:p>
                <a:pPr>
                  <a:defRPr sz="1000" b="1" strike="noStrike" spc="-1">
                    <a:solidFill>
                      <a:srgbClr val="000000"/>
                    </a:solidFill>
                    <a:latin typeface="Calibri"/>
                  </a:defRPr>
                </a:pPr>
                <a:r>
                  <a:rPr lang="en-ZA" sz="1000" b="1" strike="noStrike" spc="-1">
                    <a:solidFill>
                      <a:srgbClr val="000000"/>
                    </a:solidFill>
                    <a:latin typeface="Calibri"/>
                  </a:rPr>
                  <a:t>Financial Year</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6020176"/>
        <c:crosses val="autoZero"/>
        <c:auto val="1"/>
        <c:lblAlgn val="ctr"/>
        <c:lblOffset val="100"/>
        <c:noMultiLvlLbl val="0"/>
      </c:catAx>
      <c:valAx>
        <c:axId val="36020176"/>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ZA" sz="1000" b="1" strike="noStrike" spc="-1">
                    <a:solidFill>
                      <a:srgbClr val="000000"/>
                    </a:solidFill>
                    <a:latin typeface="Calibri"/>
                  </a:rPr>
                  <a:t>%</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532327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ZA" sz="1800" b="1" strike="noStrike" spc="-1">
                <a:solidFill>
                  <a:srgbClr val="000000"/>
                </a:solidFill>
                <a:latin typeface="Calibri"/>
              </a:rPr>
              <a:t>Debt Ratio &amp; Goodwill Intensity</a:t>
            </a:r>
          </a:p>
        </c:rich>
      </c:tx>
      <c:overlay val="0"/>
      <c:spPr>
        <a:noFill/>
        <a:ln w="0">
          <a:noFill/>
        </a:ln>
      </c:spPr>
    </c:title>
    <c:autoTitleDeleted val="0"/>
    <c:plotArea>
      <c:layout/>
      <c:lineChart>
        <c:grouping val="standard"/>
        <c:varyColors val="0"/>
        <c:ser>
          <c:idx val="0"/>
          <c:order val="0"/>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Dashboard!$B$9</c:f>
              <c:numCache>
                <c:formatCode>0.0%</c:formatCode>
                <c:ptCount val="1"/>
                <c:pt idx="0">
                  <c:v>0.29313955845150247</c:v>
                </c:pt>
              </c:numCache>
            </c:numRef>
          </c:val>
          <c:smooth val="1"/>
          <c:extLst>
            <c:ext xmlns:c16="http://schemas.microsoft.com/office/drawing/2014/chart" uri="{C3380CC4-5D6E-409C-BE32-E72D297353CC}">
              <c16:uniqueId val="{00000000-6860-4A89-BA13-CEBE1FA62ED8}"/>
            </c:ext>
          </c:extLst>
        </c:ser>
        <c:ser>
          <c:idx val="1"/>
          <c:order val="1"/>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Dashboard!$C$9</c:f>
              <c:numCache>
                <c:formatCode>0.0%</c:formatCode>
                <c:ptCount val="1"/>
                <c:pt idx="0">
                  <c:v>0.30462852180039235</c:v>
                </c:pt>
              </c:numCache>
            </c:numRef>
          </c:val>
          <c:smooth val="1"/>
          <c:extLst>
            <c:ext xmlns:c16="http://schemas.microsoft.com/office/drawing/2014/chart" uri="{C3380CC4-5D6E-409C-BE32-E72D297353CC}">
              <c16:uniqueId val="{00000001-6860-4A89-BA13-CEBE1FA62ED8}"/>
            </c:ext>
          </c:extLst>
        </c:ser>
        <c:ser>
          <c:idx val="2"/>
          <c:order val="2"/>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Dashboard!$D$9</c:f>
              <c:numCache>
                <c:formatCode>0.0%</c:formatCode>
                <c:ptCount val="1"/>
                <c:pt idx="0">
                  <c:v>0.31716089554682386</c:v>
                </c:pt>
              </c:numCache>
            </c:numRef>
          </c:val>
          <c:smooth val="1"/>
          <c:extLst>
            <c:ext xmlns:c16="http://schemas.microsoft.com/office/drawing/2014/chart" uri="{C3380CC4-5D6E-409C-BE32-E72D297353CC}">
              <c16:uniqueId val="{00000002-6860-4A89-BA13-CEBE1FA62ED8}"/>
            </c:ext>
          </c:extLst>
        </c:ser>
        <c:ser>
          <c:idx val="3"/>
          <c:order val="3"/>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Dashboard!$E$9</c:f>
              <c:numCache>
                <c:formatCode>0.0%</c:formatCode>
                <c:ptCount val="1"/>
                <c:pt idx="0">
                  <c:v>0.41033403192838108</c:v>
                </c:pt>
              </c:numCache>
            </c:numRef>
          </c:val>
          <c:smooth val="1"/>
          <c:extLst>
            <c:ext xmlns:c16="http://schemas.microsoft.com/office/drawing/2014/chart" uri="{C3380CC4-5D6E-409C-BE32-E72D297353CC}">
              <c16:uniqueId val="{00000003-6860-4A89-BA13-CEBE1FA62ED8}"/>
            </c:ext>
          </c:extLst>
        </c:ser>
        <c:ser>
          <c:idx val="4"/>
          <c:order val="4"/>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Dashboard!$F$9</c:f>
              <c:numCache>
                <c:formatCode>0.0%</c:formatCode>
                <c:ptCount val="1"/>
                <c:pt idx="0">
                  <c:v>0.34905969327675468</c:v>
                </c:pt>
              </c:numCache>
            </c:numRef>
          </c:val>
          <c:smooth val="1"/>
          <c:extLst>
            <c:ext xmlns:c16="http://schemas.microsoft.com/office/drawing/2014/chart" uri="{C3380CC4-5D6E-409C-BE32-E72D297353CC}">
              <c16:uniqueId val="{00000004-6860-4A89-BA13-CEBE1FA62ED8}"/>
            </c:ext>
          </c:extLst>
        </c:ser>
        <c:ser>
          <c:idx val="5"/>
          <c:order val="5"/>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Dashboard!$G$9</c:f>
              <c:numCache>
                <c:formatCode>0.0%</c:formatCode>
                <c:ptCount val="1"/>
                <c:pt idx="0">
                  <c:v>0.49180234218794633</c:v>
                </c:pt>
              </c:numCache>
            </c:numRef>
          </c:val>
          <c:smooth val="1"/>
          <c:extLst>
            <c:ext xmlns:c16="http://schemas.microsoft.com/office/drawing/2014/chart" uri="{C3380CC4-5D6E-409C-BE32-E72D297353CC}">
              <c16:uniqueId val="{00000005-6860-4A89-BA13-CEBE1FA62ED8}"/>
            </c:ext>
          </c:extLst>
        </c:ser>
        <c:dLbls>
          <c:showLegendKey val="0"/>
          <c:showVal val="0"/>
          <c:showCatName val="0"/>
          <c:showSerName val="0"/>
          <c:showPercent val="0"/>
          <c:showBubbleSize val="0"/>
        </c:dLbls>
        <c:hiLowLines>
          <c:spPr>
            <a:ln w="0">
              <a:noFill/>
            </a:ln>
          </c:spPr>
        </c:hiLowLines>
        <c:smooth val="0"/>
        <c:axId val="6480876"/>
        <c:axId val="26707577"/>
      </c:lineChart>
      <c:catAx>
        <c:axId val="6480876"/>
        <c:scaling>
          <c:orientation val="minMax"/>
        </c:scaling>
        <c:delete val="0"/>
        <c:axPos val="b"/>
        <c:title>
          <c:tx>
            <c:rich>
              <a:bodyPr rot="0"/>
              <a:lstStyle/>
              <a:p>
                <a:pPr>
                  <a:defRPr sz="1000" b="1" strike="noStrike" spc="-1">
                    <a:solidFill>
                      <a:srgbClr val="000000"/>
                    </a:solidFill>
                    <a:latin typeface="Calibri"/>
                  </a:defRPr>
                </a:pPr>
                <a:r>
                  <a:rPr lang="en-ZA" sz="1000" b="1" strike="noStrike" spc="-1">
                    <a:solidFill>
                      <a:srgbClr val="000000"/>
                    </a:solidFill>
                    <a:latin typeface="Calibri"/>
                  </a:rPr>
                  <a:t>Financial Year</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6707577"/>
        <c:crosses val="autoZero"/>
        <c:auto val="1"/>
        <c:lblAlgn val="ctr"/>
        <c:lblOffset val="100"/>
        <c:noMultiLvlLbl val="0"/>
      </c:catAx>
      <c:valAx>
        <c:axId val="26707577"/>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ZA" sz="1000" b="1" strike="noStrike" spc="-1">
                    <a:solidFill>
                      <a:srgbClr val="000000"/>
                    </a:solidFill>
                    <a:latin typeface="Calibri"/>
                  </a:rPr>
                  <a:t>%</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48087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ZA" sz="1800" b="1" strike="noStrike" spc="-1">
                <a:solidFill>
                  <a:srgbClr val="000000"/>
                </a:solidFill>
                <a:latin typeface="Calibri"/>
              </a:rPr>
              <a:t>Altman Z''-Score (Distress Threshold 1.1 / Safe 2.6)</a:t>
            </a:r>
          </a:p>
        </c:rich>
      </c:tx>
      <c:overlay val="0"/>
      <c:spPr>
        <a:noFill/>
        <a:ln w="0">
          <a:noFill/>
        </a:ln>
      </c:spPr>
    </c:title>
    <c:autoTitleDeleted val="0"/>
    <c:plotArea>
      <c:layout/>
      <c:lineChart>
        <c:grouping val="standard"/>
        <c:varyColors val="0"/>
        <c:ser>
          <c:idx val="0"/>
          <c:order val="0"/>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Dashboard!$B$10</c:f>
              <c:numCache>
                <c:formatCode>0.00</c:formatCode>
                <c:ptCount val="1"/>
                <c:pt idx="0">
                  <c:v>1.4895768222029557</c:v>
                </c:pt>
              </c:numCache>
            </c:numRef>
          </c:val>
          <c:smooth val="1"/>
          <c:extLst>
            <c:ext xmlns:c16="http://schemas.microsoft.com/office/drawing/2014/chart" uri="{C3380CC4-5D6E-409C-BE32-E72D297353CC}">
              <c16:uniqueId val="{00000000-42F4-4B18-9E0D-56B6FF49BCB1}"/>
            </c:ext>
          </c:extLst>
        </c:ser>
        <c:ser>
          <c:idx val="1"/>
          <c:order val="1"/>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Dashboard!$C$10</c:f>
              <c:numCache>
                <c:formatCode>0.00</c:formatCode>
                <c:ptCount val="1"/>
                <c:pt idx="0">
                  <c:v>1.9772728785808766</c:v>
                </c:pt>
              </c:numCache>
            </c:numRef>
          </c:val>
          <c:smooth val="1"/>
          <c:extLst>
            <c:ext xmlns:c16="http://schemas.microsoft.com/office/drawing/2014/chart" uri="{C3380CC4-5D6E-409C-BE32-E72D297353CC}">
              <c16:uniqueId val="{00000001-42F4-4B18-9E0D-56B6FF49BCB1}"/>
            </c:ext>
          </c:extLst>
        </c:ser>
        <c:ser>
          <c:idx val="2"/>
          <c:order val="2"/>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Dashboard!$D$10</c:f>
              <c:numCache>
                <c:formatCode>0.00</c:formatCode>
                <c:ptCount val="1"/>
                <c:pt idx="0">
                  <c:v>-2.9898630343239039</c:v>
                </c:pt>
              </c:numCache>
            </c:numRef>
          </c:val>
          <c:smooth val="1"/>
          <c:extLst>
            <c:ext xmlns:c16="http://schemas.microsoft.com/office/drawing/2014/chart" uri="{C3380CC4-5D6E-409C-BE32-E72D297353CC}">
              <c16:uniqueId val="{00000002-42F4-4B18-9E0D-56B6FF49BCB1}"/>
            </c:ext>
          </c:extLst>
        </c:ser>
        <c:ser>
          <c:idx val="3"/>
          <c:order val="3"/>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Dashboard!$E$10</c:f>
              <c:numCache>
                <c:formatCode>0.00</c:formatCode>
                <c:ptCount val="1"/>
                <c:pt idx="0">
                  <c:v>0.59151300586023825</c:v>
                </c:pt>
              </c:numCache>
            </c:numRef>
          </c:val>
          <c:smooth val="1"/>
          <c:extLst>
            <c:ext xmlns:c16="http://schemas.microsoft.com/office/drawing/2014/chart" uri="{C3380CC4-5D6E-409C-BE32-E72D297353CC}">
              <c16:uniqueId val="{00000003-42F4-4B18-9E0D-56B6FF49BCB1}"/>
            </c:ext>
          </c:extLst>
        </c:ser>
        <c:ser>
          <c:idx val="4"/>
          <c:order val="4"/>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Dashboard!$F$10</c:f>
              <c:numCache>
                <c:formatCode>0.00</c:formatCode>
                <c:ptCount val="1"/>
                <c:pt idx="0">
                  <c:v>-5.9068497461871559</c:v>
                </c:pt>
              </c:numCache>
            </c:numRef>
          </c:val>
          <c:smooth val="1"/>
          <c:extLst>
            <c:ext xmlns:c16="http://schemas.microsoft.com/office/drawing/2014/chart" uri="{C3380CC4-5D6E-409C-BE32-E72D297353CC}">
              <c16:uniqueId val="{00000004-42F4-4B18-9E0D-56B6FF49BCB1}"/>
            </c:ext>
          </c:extLst>
        </c:ser>
        <c:ser>
          <c:idx val="5"/>
          <c:order val="5"/>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Dashboard!$G$10</c:f>
              <c:numCache>
                <c:formatCode>0.00</c:formatCode>
                <c:ptCount val="1"/>
                <c:pt idx="0">
                  <c:v>-3.7728406451933862</c:v>
                </c:pt>
              </c:numCache>
            </c:numRef>
          </c:val>
          <c:smooth val="1"/>
          <c:extLst>
            <c:ext xmlns:c16="http://schemas.microsoft.com/office/drawing/2014/chart" uri="{C3380CC4-5D6E-409C-BE32-E72D297353CC}">
              <c16:uniqueId val="{00000005-42F4-4B18-9E0D-56B6FF49BCB1}"/>
            </c:ext>
          </c:extLst>
        </c:ser>
        <c:dLbls>
          <c:showLegendKey val="0"/>
          <c:showVal val="0"/>
          <c:showCatName val="0"/>
          <c:showSerName val="0"/>
          <c:showPercent val="0"/>
          <c:showBubbleSize val="0"/>
        </c:dLbls>
        <c:hiLowLines>
          <c:spPr>
            <a:ln w="0">
              <a:noFill/>
            </a:ln>
          </c:spPr>
        </c:hiLowLines>
        <c:smooth val="0"/>
        <c:axId val="2998631"/>
        <c:axId val="26301315"/>
      </c:lineChart>
      <c:catAx>
        <c:axId val="2998631"/>
        <c:scaling>
          <c:orientation val="minMax"/>
        </c:scaling>
        <c:delete val="0"/>
        <c:axPos val="b"/>
        <c:title>
          <c:tx>
            <c:rich>
              <a:bodyPr rot="0"/>
              <a:lstStyle/>
              <a:p>
                <a:pPr>
                  <a:defRPr sz="1000" b="1" strike="noStrike" spc="-1">
                    <a:solidFill>
                      <a:srgbClr val="000000"/>
                    </a:solidFill>
                    <a:latin typeface="Calibri"/>
                  </a:defRPr>
                </a:pPr>
                <a:r>
                  <a:rPr lang="en-ZA" sz="1000" b="1" strike="noStrike" spc="-1">
                    <a:solidFill>
                      <a:srgbClr val="000000"/>
                    </a:solidFill>
                    <a:latin typeface="Calibri"/>
                  </a:rPr>
                  <a:t>Financial Year</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6301315"/>
        <c:crosses val="autoZero"/>
        <c:auto val="1"/>
        <c:lblAlgn val="ctr"/>
        <c:lblOffset val="100"/>
        <c:noMultiLvlLbl val="0"/>
      </c:catAx>
      <c:valAx>
        <c:axId val="26301315"/>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ZA" sz="1000" b="1" strike="noStrike" spc="-1">
                    <a:solidFill>
                      <a:srgbClr val="000000"/>
                    </a:solidFill>
                    <a:latin typeface="Calibri"/>
                  </a:rPr>
                  <a:t>Z-score</a:t>
                </a:r>
              </a:p>
            </c:rich>
          </c:tx>
          <c:overlay val="0"/>
          <c:spPr>
            <a:noFill/>
            <a:ln w="0">
              <a:noFill/>
            </a:ln>
          </c:spPr>
        </c:title>
        <c:numFmt formatCode="0.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99863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11</xdr:row>
      <xdr:rowOff>160020</xdr:rowOff>
    </xdr:from>
    <xdr:to>
      <xdr:col>4</xdr:col>
      <xdr:colOff>845820</xdr:colOff>
      <xdr:row>34</xdr:row>
      <xdr:rowOff>4233</xdr:rowOff>
    </xdr:to>
    <xdr:pic>
      <xdr:nvPicPr>
        <xdr:cNvPr id="4" name="Picture 3">
          <a:extLst>
            <a:ext uri="{FF2B5EF4-FFF2-40B4-BE49-F238E27FC236}">
              <a16:creationId xmlns:a16="http://schemas.microsoft.com/office/drawing/2014/main" id="{C6F500F8-212F-3168-48B2-58C9634155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2522220"/>
          <a:ext cx="7132320" cy="40504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22</xdr:row>
      <xdr:rowOff>131040</xdr:rowOff>
    </xdr:from>
    <xdr:to>
      <xdr:col>4</xdr:col>
      <xdr:colOff>660000</xdr:colOff>
      <xdr:row>35</xdr:row>
      <xdr:rowOff>128160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22</xdr:row>
      <xdr:rowOff>131040</xdr:rowOff>
    </xdr:from>
    <xdr:to>
      <xdr:col>15</xdr:col>
      <xdr:colOff>507600</xdr:colOff>
      <xdr:row>35</xdr:row>
      <xdr:rowOff>128160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40</xdr:row>
      <xdr:rowOff>131040</xdr:rowOff>
    </xdr:from>
    <xdr:to>
      <xdr:col>4</xdr:col>
      <xdr:colOff>660000</xdr:colOff>
      <xdr:row>53</xdr:row>
      <xdr:rowOff>173880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40</xdr:row>
      <xdr:rowOff>131040</xdr:rowOff>
    </xdr:from>
    <xdr:to>
      <xdr:col>15</xdr:col>
      <xdr:colOff>507600</xdr:colOff>
      <xdr:row>53</xdr:row>
      <xdr:rowOff>173880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58</xdr:row>
      <xdr:rowOff>131040</xdr:rowOff>
    </xdr:from>
    <xdr:to>
      <xdr:col>4</xdr:col>
      <xdr:colOff>660000</xdr:colOff>
      <xdr:row>71</xdr:row>
      <xdr:rowOff>173880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showGridLines="0" zoomScaleNormal="100" workbookViewId="0">
      <selection activeCell="C19" sqref="C19"/>
    </sheetView>
  </sheetViews>
  <sheetFormatPr defaultColWidth="8.88671875" defaultRowHeight="14.4" x14ac:dyDescent="0.3"/>
  <cols>
    <col min="1" max="1" width="40.21875" style="1" customWidth="1"/>
    <col min="2" max="3" width="16.77734375" style="2" customWidth="1"/>
    <col min="4" max="7" width="16.77734375" style="3" customWidth="1"/>
    <col min="8" max="16384" width="8.88671875" style="1"/>
  </cols>
  <sheetData>
    <row r="1" spans="1:7" ht="18" customHeight="1" x14ac:dyDescent="0.3">
      <c r="A1" s="4" t="s">
        <v>16</v>
      </c>
      <c r="B1" s="5">
        <v>2018</v>
      </c>
      <c r="C1" s="5">
        <v>2017</v>
      </c>
      <c r="D1" s="5">
        <v>2016</v>
      </c>
      <c r="E1" s="5">
        <v>2015</v>
      </c>
      <c r="F1" s="5">
        <v>2014</v>
      </c>
      <c r="G1" s="5">
        <v>2013</v>
      </c>
    </row>
    <row r="2" spans="1:7" ht="18" customHeight="1" x14ac:dyDescent="0.3">
      <c r="A2" s="6" t="s">
        <v>17</v>
      </c>
      <c r="B2" s="7">
        <v>200477</v>
      </c>
      <c r="C2" s="7">
        <v>187095</v>
      </c>
      <c r="D2" s="7">
        <v>99848</v>
      </c>
      <c r="E2" s="7">
        <v>43445</v>
      </c>
      <c r="F2" s="7">
        <v>117364</v>
      </c>
      <c r="G2" s="7">
        <v>97938</v>
      </c>
    </row>
    <row r="3" spans="1:7" ht="18" customHeight="1" x14ac:dyDescent="0.3">
      <c r="A3" s="6" t="s">
        <v>18</v>
      </c>
      <c r="B3" s="7">
        <v>-122943</v>
      </c>
      <c r="C3" s="7">
        <v>-114454</v>
      </c>
      <c r="D3" s="7">
        <v>-68873</v>
      </c>
      <c r="E3" s="7">
        <v>-29805</v>
      </c>
      <c r="F3" s="7">
        <v>-75446</v>
      </c>
      <c r="G3" s="7">
        <v>-63542</v>
      </c>
    </row>
    <row r="4" spans="1:7" ht="18" customHeight="1" x14ac:dyDescent="0.3">
      <c r="A4" s="8" t="s">
        <v>19</v>
      </c>
      <c r="B4" s="9">
        <v>77534</v>
      </c>
      <c r="C4" s="9">
        <v>72641</v>
      </c>
      <c r="D4" s="9">
        <v>30975</v>
      </c>
      <c r="E4" s="9">
        <v>13640</v>
      </c>
      <c r="F4" s="9">
        <v>41918</v>
      </c>
      <c r="G4" s="9">
        <v>34396</v>
      </c>
    </row>
    <row r="5" spans="1:7" ht="18" customHeight="1" x14ac:dyDescent="0.3">
      <c r="A5" s="6" t="s">
        <v>20</v>
      </c>
      <c r="B5" s="7">
        <v>3054</v>
      </c>
      <c r="C5" s="7">
        <v>2948</v>
      </c>
      <c r="D5" s="7">
        <v>4779</v>
      </c>
      <c r="E5" s="7">
        <v>4587</v>
      </c>
      <c r="F5" s="7">
        <v>1404</v>
      </c>
      <c r="G5" s="7">
        <v>1238</v>
      </c>
    </row>
    <row r="6" spans="1:7" ht="18" customHeight="1" x14ac:dyDescent="0.3">
      <c r="A6" s="6" t="s">
        <v>21</v>
      </c>
      <c r="B6" s="7">
        <v>-10993</v>
      </c>
      <c r="C6" s="7">
        <v>-8753</v>
      </c>
      <c r="D6" s="7">
        <v>-7060</v>
      </c>
      <c r="E6" s="7">
        <v>-5491</v>
      </c>
      <c r="F6" s="7">
        <v>0</v>
      </c>
      <c r="G6" s="7">
        <v>0</v>
      </c>
    </row>
    <row r="7" spans="1:7" ht="18" customHeight="1" x14ac:dyDescent="0.3">
      <c r="A7" s="6" t="s">
        <v>22</v>
      </c>
      <c r="B7" s="7">
        <v>-64175</v>
      </c>
      <c r="C7" s="7">
        <v>-61138</v>
      </c>
      <c r="D7" s="7">
        <v>-30326</v>
      </c>
      <c r="E7" s="7">
        <v>-15243</v>
      </c>
      <c r="F7" s="7">
        <v>0</v>
      </c>
      <c r="G7" s="7">
        <v>0</v>
      </c>
    </row>
    <row r="8" spans="1:7" ht="18" customHeight="1" x14ac:dyDescent="0.3">
      <c r="A8" s="6" t="s">
        <v>23</v>
      </c>
      <c r="B8" s="7">
        <v>-4557</v>
      </c>
      <c r="C8" s="7">
        <v>-8753</v>
      </c>
      <c r="D8" s="7"/>
      <c r="E8" s="7"/>
      <c r="F8" s="7">
        <v>-23640</v>
      </c>
      <c r="G8" s="7">
        <v>-20361</v>
      </c>
    </row>
    <row r="9" spans="1:7" ht="18" customHeight="1" x14ac:dyDescent="0.3">
      <c r="A9" s="6" t="s">
        <v>24</v>
      </c>
      <c r="B9" s="7"/>
      <c r="C9" s="7"/>
      <c r="D9" s="7">
        <v>3870</v>
      </c>
      <c r="E9" s="7">
        <v>2397</v>
      </c>
      <c r="F9" s="7"/>
      <c r="G9" s="7"/>
    </row>
    <row r="10" spans="1:7" ht="18" customHeight="1" x14ac:dyDescent="0.3">
      <c r="A10" s="8" t="s">
        <v>25</v>
      </c>
      <c r="B10" s="9">
        <v>1253</v>
      </c>
      <c r="C10" s="9">
        <v>-2256</v>
      </c>
      <c r="D10" s="9">
        <v>9298</v>
      </c>
      <c r="E10" s="9">
        <v>5381</v>
      </c>
      <c r="F10" s="9">
        <v>14122</v>
      </c>
      <c r="G10" s="9">
        <v>9459</v>
      </c>
    </row>
    <row r="11" spans="1:7" ht="18" customHeight="1" x14ac:dyDescent="0.3">
      <c r="A11" s="6" t="s">
        <v>26</v>
      </c>
      <c r="B11" s="7">
        <v>-10257</v>
      </c>
      <c r="C11" s="7">
        <v>-6166</v>
      </c>
      <c r="D11" s="7">
        <v>-2536</v>
      </c>
      <c r="E11" s="7">
        <v>-1315</v>
      </c>
      <c r="F11" s="7">
        <v>-3486</v>
      </c>
      <c r="G11" s="7">
        <v>-2624</v>
      </c>
    </row>
    <row r="12" spans="1:7" ht="18" customHeight="1" x14ac:dyDescent="0.3">
      <c r="A12" s="6" t="s">
        <v>27</v>
      </c>
      <c r="B12" s="7">
        <v>1065</v>
      </c>
      <c r="C12" s="7">
        <v>572</v>
      </c>
      <c r="D12" s="7">
        <v>809</v>
      </c>
      <c r="E12" s="7">
        <v>569</v>
      </c>
      <c r="F12" s="7">
        <v>1491</v>
      </c>
      <c r="G12" s="7">
        <v>998</v>
      </c>
    </row>
    <row r="13" spans="1:7" ht="18" customHeight="1" x14ac:dyDescent="0.3">
      <c r="A13" s="6" t="s">
        <v>28</v>
      </c>
      <c r="B13" s="7">
        <v>908</v>
      </c>
      <c r="C13" s="7">
        <v>1519</v>
      </c>
      <c r="D13" s="7">
        <v>1291</v>
      </c>
      <c r="E13" s="7">
        <v>388</v>
      </c>
      <c r="F13" s="7">
        <v>290</v>
      </c>
      <c r="G13" s="7">
        <v>240</v>
      </c>
    </row>
    <row r="14" spans="1:7" ht="18" customHeight="1" x14ac:dyDescent="0.3">
      <c r="A14" s="6" t="s">
        <v>29</v>
      </c>
      <c r="B14" s="7">
        <v>-47</v>
      </c>
      <c r="C14" s="7">
        <v>-1895</v>
      </c>
      <c r="D14" s="7"/>
      <c r="E14" s="7">
        <v>-10</v>
      </c>
      <c r="F14" s="7"/>
      <c r="G14" s="7"/>
    </row>
    <row r="15" spans="1:7" ht="18" customHeight="1" x14ac:dyDescent="0.3">
      <c r="A15" s="6" t="s">
        <v>30</v>
      </c>
      <c r="B15" s="9">
        <v>-7078</v>
      </c>
      <c r="C15" s="9">
        <v>-8227</v>
      </c>
      <c r="D15" s="9">
        <v>8862</v>
      </c>
      <c r="E15" s="9">
        <v>5013</v>
      </c>
      <c r="F15" s="9">
        <v>12417</v>
      </c>
      <c r="G15" s="9">
        <v>8073</v>
      </c>
    </row>
    <row r="16" spans="1:7" ht="18" customHeight="1" x14ac:dyDescent="0.3">
      <c r="A16" s="6" t="s">
        <v>31</v>
      </c>
      <c r="B16" s="7">
        <v>-3477</v>
      </c>
      <c r="C16" s="7">
        <v>-3008</v>
      </c>
      <c r="D16" s="7">
        <v>-1571</v>
      </c>
      <c r="E16" s="7">
        <v>-228</v>
      </c>
      <c r="F16" s="7">
        <v>-1954</v>
      </c>
      <c r="G16" s="7">
        <v>-983</v>
      </c>
    </row>
    <row r="17" spans="1:7" ht="18" customHeight="1" x14ac:dyDescent="0.3">
      <c r="A17" s="6" t="s">
        <v>32</v>
      </c>
      <c r="B17" s="9">
        <v>-10555</v>
      </c>
      <c r="C17" s="9">
        <v>-11235</v>
      </c>
      <c r="D17" s="9">
        <v>7291</v>
      </c>
      <c r="E17" s="9">
        <v>4785</v>
      </c>
      <c r="F17" s="9">
        <v>10463</v>
      </c>
      <c r="G17" s="9">
        <v>7090</v>
      </c>
    </row>
    <row r="18" spans="1:7" ht="18" customHeight="1" x14ac:dyDescent="0.3">
      <c r="A18" s="6" t="s">
        <v>33</v>
      </c>
      <c r="B18" s="7">
        <v>-8112</v>
      </c>
      <c r="C18" s="7">
        <v>-48829</v>
      </c>
      <c r="D18" s="7">
        <v>8099</v>
      </c>
      <c r="E18" s="7">
        <v>6667</v>
      </c>
      <c r="F18" s="7">
        <v>-600</v>
      </c>
      <c r="G18" s="7">
        <v>859</v>
      </c>
    </row>
    <row r="19" spans="1:7" ht="18" customHeight="1" x14ac:dyDescent="0.3">
      <c r="A19" s="8" t="s">
        <v>34</v>
      </c>
      <c r="B19" s="9">
        <v>-18667</v>
      </c>
      <c r="C19" s="9">
        <v>-60064</v>
      </c>
      <c r="D19" s="9">
        <v>15390</v>
      </c>
      <c r="E19" s="9">
        <v>11452</v>
      </c>
      <c r="F19" s="9">
        <v>9863</v>
      </c>
      <c r="G19" s="9">
        <v>7949</v>
      </c>
    </row>
    <row r="20" spans="1:7" ht="18" customHeight="1" x14ac:dyDescent="0.3">
      <c r="A20" s="6" t="s">
        <v>35</v>
      </c>
      <c r="B20" s="7">
        <v>423</v>
      </c>
      <c r="C20" s="7">
        <v>-2828</v>
      </c>
      <c r="D20" s="7">
        <v>-7889</v>
      </c>
      <c r="E20" s="7">
        <v>-3614</v>
      </c>
      <c r="F20" s="7">
        <v>5766</v>
      </c>
      <c r="G20" s="7">
        <v>6312</v>
      </c>
    </row>
    <row r="21" spans="1:7" ht="18" customHeight="1" x14ac:dyDescent="0.3">
      <c r="A21" s="8" t="s">
        <v>36</v>
      </c>
      <c r="B21" s="9">
        <v>-18244</v>
      </c>
      <c r="C21" s="9">
        <v>-62892</v>
      </c>
      <c r="D21" s="9">
        <v>7501</v>
      </c>
      <c r="E21" s="9">
        <v>7838</v>
      </c>
      <c r="F21" s="9">
        <v>15629</v>
      </c>
      <c r="G21" s="9">
        <v>14261</v>
      </c>
    </row>
    <row r="22" spans="1:7" ht="14.25" customHeight="1" x14ac:dyDescent="0.3">
      <c r="B22" s="3"/>
      <c r="C22" s="3"/>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7"/>
  <sheetViews>
    <sheetView topLeftCell="A11" zoomScaleNormal="100" workbookViewId="0">
      <selection activeCell="C36" sqref="C36"/>
    </sheetView>
  </sheetViews>
  <sheetFormatPr defaultColWidth="8.88671875" defaultRowHeight="14.4" x14ac:dyDescent="0.3"/>
  <cols>
    <col min="1" max="1" width="69.88671875" style="10" customWidth="1"/>
    <col min="2" max="2" width="16.6640625" style="10" customWidth="1"/>
    <col min="3" max="3" width="14.33203125" style="10" customWidth="1"/>
    <col min="4" max="8" width="14.6640625" style="11" customWidth="1"/>
    <col min="9" max="9" width="8.88671875" style="10"/>
    <col min="10" max="10" width="11.33203125" style="10" customWidth="1"/>
    <col min="11" max="16384" width="8.88671875" style="10"/>
  </cols>
  <sheetData>
    <row r="1" spans="1:8" ht="15.75" customHeight="1" x14ac:dyDescent="0.3">
      <c r="A1" s="101" t="s">
        <v>37</v>
      </c>
      <c r="B1" s="101"/>
      <c r="C1" s="101"/>
      <c r="D1" s="101"/>
      <c r="E1" s="101"/>
      <c r="F1" s="101"/>
      <c r="G1" s="101"/>
      <c r="H1" s="101"/>
    </row>
    <row r="2" spans="1:8" ht="15" customHeight="1" x14ac:dyDescent="0.3">
      <c r="A2" s="12" t="s">
        <v>38</v>
      </c>
      <c r="B2" s="12">
        <v>2018</v>
      </c>
      <c r="C2" s="12">
        <v>2017</v>
      </c>
      <c r="D2" s="13">
        <v>2016</v>
      </c>
      <c r="E2" s="13">
        <v>2015</v>
      </c>
      <c r="F2" s="14" t="s">
        <v>39</v>
      </c>
      <c r="G2" s="15" t="s">
        <v>40</v>
      </c>
      <c r="H2" s="15" t="s">
        <v>41</v>
      </c>
    </row>
    <row r="3" spans="1:8" ht="15.75" customHeight="1" x14ac:dyDescent="0.3">
      <c r="A3" s="16" t="s">
        <v>42</v>
      </c>
      <c r="B3" s="16"/>
      <c r="C3" s="16"/>
      <c r="D3" s="17"/>
      <c r="E3" s="17"/>
      <c r="F3" s="18"/>
      <c r="G3" s="18"/>
      <c r="H3" s="18"/>
    </row>
    <row r="4" spans="1:8" ht="15.75" customHeight="1" x14ac:dyDescent="0.3">
      <c r="A4" s="16" t="s">
        <v>43</v>
      </c>
      <c r="B4" s="16"/>
      <c r="C4" s="16"/>
      <c r="D4" s="19"/>
      <c r="E4" s="19"/>
      <c r="F4" s="20"/>
      <c r="G4" s="20"/>
      <c r="H4" s="20"/>
    </row>
    <row r="5" spans="1:8" ht="15.75" customHeight="1" x14ac:dyDescent="0.3">
      <c r="A5" s="21" t="s">
        <v>44</v>
      </c>
      <c r="B5" s="22">
        <v>4485</v>
      </c>
      <c r="C5" s="22">
        <v>4593</v>
      </c>
      <c r="D5" s="23">
        <v>47963</v>
      </c>
      <c r="E5" s="19">
        <v>48548</v>
      </c>
      <c r="F5" s="19">
        <v>27810</v>
      </c>
      <c r="G5" s="19">
        <v>18850</v>
      </c>
      <c r="H5" s="19">
        <v>15572</v>
      </c>
    </row>
    <row r="6" spans="1:8" ht="15.75" customHeight="1" x14ac:dyDescent="0.3">
      <c r="A6" s="21" t="s">
        <v>45</v>
      </c>
      <c r="B6" s="22">
        <v>1826</v>
      </c>
      <c r="C6" s="22">
        <v>2657</v>
      </c>
      <c r="D6" s="23">
        <v>21369</v>
      </c>
      <c r="E6" s="19">
        <v>29620</v>
      </c>
      <c r="F6" s="19">
        <v>38306</v>
      </c>
      <c r="G6" s="19">
        <v>41585</v>
      </c>
      <c r="H6" s="19">
        <v>33834</v>
      </c>
    </row>
    <row r="7" spans="1:8" ht="15.75" customHeight="1" x14ac:dyDescent="0.3">
      <c r="A7" s="21" t="s">
        <v>46</v>
      </c>
      <c r="B7" s="22">
        <v>2146</v>
      </c>
      <c r="C7" s="22">
        <v>3302</v>
      </c>
      <c r="D7" s="23">
        <v>8977</v>
      </c>
      <c r="E7" s="19">
        <v>43916</v>
      </c>
      <c r="F7" s="19">
        <v>53995</v>
      </c>
      <c r="G7" s="19">
        <v>44897</v>
      </c>
      <c r="H7" s="19">
        <v>34942</v>
      </c>
    </row>
    <row r="8" spans="1:8" ht="15.75" customHeight="1" x14ac:dyDescent="0.3">
      <c r="A8" s="21" t="s">
        <v>47</v>
      </c>
      <c r="B8" s="22">
        <v>134</v>
      </c>
      <c r="C8" s="22">
        <v>128</v>
      </c>
      <c r="D8" s="23">
        <v>955</v>
      </c>
      <c r="E8" s="19">
        <v>1317</v>
      </c>
      <c r="F8" s="23">
        <v>427</v>
      </c>
      <c r="G8" s="24">
        <v>480</v>
      </c>
      <c r="H8" s="24">
        <v>472</v>
      </c>
    </row>
    <row r="9" spans="1:8" ht="15.75" customHeight="1" x14ac:dyDescent="0.3">
      <c r="A9" s="21" t="s">
        <v>48</v>
      </c>
      <c r="B9" s="22"/>
      <c r="C9" s="22"/>
      <c r="D9" s="19"/>
      <c r="E9" s="19">
        <v>12693</v>
      </c>
      <c r="F9" s="19" t="s">
        <v>49</v>
      </c>
      <c r="G9" s="19">
        <v>1761</v>
      </c>
      <c r="H9" s="19">
        <v>1656</v>
      </c>
    </row>
    <row r="10" spans="1:8" ht="15.75" customHeight="1" x14ac:dyDescent="0.3">
      <c r="A10" s="21" t="s">
        <v>50</v>
      </c>
      <c r="B10" s="22">
        <v>430</v>
      </c>
      <c r="C10" s="22">
        <v>2055</v>
      </c>
      <c r="D10" s="23">
        <v>19269</v>
      </c>
      <c r="E10" s="19">
        <v>5572</v>
      </c>
      <c r="F10" s="19">
        <v>4223</v>
      </c>
      <c r="G10" s="19">
        <v>2634</v>
      </c>
      <c r="H10" s="19">
        <v>2341</v>
      </c>
    </row>
    <row r="11" spans="1:8" ht="15.75" customHeight="1" x14ac:dyDescent="0.3">
      <c r="A11" s="21" t="s">
        <v>51</v>
      </c>
      <c r="B11" s="22">
        <v>311</v>
      </c>
      <c r="C11" s="22">
        <v>106</v>
      </c>
      <c r="D11" s="23">
        <v>6437</v>
      </c>
      <c r="E11" s="19">
        <v>3084</v>
      </c>
      <c r="F11" s="19">
        <v>10399</v>
      </c>
      <c r="G11" s="19">
        <v>1124</v>
      </c>
      <c r="H11" s="24">
        <v>868</v>
      </c>
    </row>
    <row r="12" spans="1:8" ht="15.75" customHeight="1" x14ac:dyDescent="0.3">
      <c r="A12" s="21" t="s">
        <v>52</v>
      </c>
      <c r="B12" s="22">
        <v>201</v>
      </c>
      <c r="C12" s="22">
        <v>221</v>
      </c>
      <c r="D12" s="23">
        <v>2912</v>
      </c>
      <c r="E12" s="19">
        <v>150</v>
      </c>
      <c r="F12" s="19">
        <v>1390</v>
      </c>
      <c r="G12" s="24">
        <v>730</v>
      </c>
      <c r="H12" s="24">
        <v>697</v>
      </c>
    </row>
    <row r="13" spans="1:8" ht="15.75" customHeight="1" x14ac:dyDescent="0.3">
      <c r="A13" s="21" t="s">
        <v>53</v>
      </c>
      <c r="B13" s="22">
        <v>3</v>
      </c>
      <c r="C13" s="22">
        <v>2</v>
      </c>
      <c r="D13" s="23">
        <v>81</v>
      </c>
      <c r="E13" s="19"/>
      <c r="F13" s="23">
        <v>70</v>
      </c>
      <c r="G13" s="19">
        <v>3174</v>
      </c>
      <c r="H13" s="19">
        <v>2619</v>
      </c>
    </row>
    <row r="14" spans="1:8" ht="15.75" customHeight="1" x14ac:dyDescent="0.3">
      <c r="A14" s="25"/>
      <c r="B14" s="26">
        <v>9536</v>
      </c>
      <c r="C14" s="26">
        <v>13064</v>
      </c>
      <c r="D14" s="27">
        <f>SUM(D5:D13)</f>
        <v>107963</v>
      </c>
      <c r="E14" s="27">
        <f>SUM(E5:E13)</f>
        <v>144900</v>
      </c>
      <c r="F14" s="27">
        <f>SUM(F5:F13)</f>
        <v>136620</v>
      </c>
      <c r="G14" s="27">
        <f>SUM(G5:G13)</f>
        <v>115235</v>
      </c>
      <c r="H14" s="27">
        <f>SUM(H5:H13)</f>
        <v>93001</v>
      </c>
    </row>
    <row r="15" spans="1:8" ht="15.75" customHeight="1" x14ac:dyDescent="0.3">
      <c r="A15" s="16" t="s">
        <v>54</v>
      </c>
      <c r="B15" s="28"/>
      <c r="C15" s="28"/>
      <c r="D15" s="19"/>
      <c r="E15" s="19"/>
      <c r="F15" s="20"/>
      <c r="G15" s="20"/>
      <c r="H15" s="20"/>
    </row>
    <row r="16" spans="1:8" ht="15.75" customHeight="1" x14ac:dyDescent="0.3">
      <c r="A16" s="21" t="s">
        <v>55</v>
      </c>
      <c r="B16" s="22"/>
      <c r="C16" s="22"/>
      <c r="D16" s="19">
        <v>0</v>
      </c>
      <c r="E16" s="19">
        <v>0</v>
      </c>
      <c r="F16" s="23">
        <v>534</v>
      </c>
      <c r="G16" s="24">
        <v>455</v>
      </c>
      <c r="H16" s="24">
        <v>372</v>
      </c>
    </row>
    <row r="17" spans="1:8" ht="15.75" customHeight="1" x14ac:dyDescent="0.3">
      <c r="A17" s="21" t="s">
        <v>56</v>
      </c>
      <c r="B17" s="22">
        <v>2155</v>
      </c>
      <c r="C17" s="22">
        <v>2556</v>
      </c>
      <c r="D17" s="23">
        <v>13791</v>
      </c>
      <c r="E17" s="23">
        <v>27631</v>
      </c>
      <c r="F17" s="19">
        <v>17921</v>
      </c>
      <c r="G17" s="19">
        <v>16447</v>
      </c>
      <c r="H17" s="19">
        <v>14539</v>
      </c>
    </row>
    <row r="18" spans="1:8" ht="15.75" customHeight="1" x14ac:dyDescent="0.3">
      <c r="A18" s="21" t="s">
        <v>53</v>
      </c>
      <c r="B18" s="22">
        <v>1216</v>
      </c>
      <c r="C18" s="22">
        <v>1055</v>
      </c>
      <c r="D18" s="23">
        <v>6039</v>
      </c>
      <c r="E18" s="23">
        <v>10160</v>
      </c>
      <c r="F18" s="19">
        <v>18112</v>
      </c>
      <c r="G18" s="19">
        <v>20039</v>
      </c>
      <c r="H18" s="19">
        <v>15534</v>
      </c>
    </row>
    <row r="19" spans="1:8" ht="15.75" customHeight="1" x14ac:dyDescent="0.3">
      <c r="A19" s="21" t="s">
        <v>57</v>
      </c>
      <c r="B19" s="22"/>
      <c r="C19" s="22"/>
      <c r="D19" s="23">
        <v>263</v>
      </c>
      <c r="E19" s="23">
        <v>495</v>
      </c>
      <c r="F19" s="19"/>
      <c r="G19" s="19"/>
      <c r="H19" s="19"/>
    </row>
    <row r="20" spans="1:8" ht="15.75" customHeight="1" x14ac:dyDescent="0.3">
      <c r="A20" s="21" t="s">
        <v>58</v>
      </c>
      <c r="B20" s="22"/>
      <c r="C20" s="22"/>
      <c r="D20" s="23">
        <v>5938</v>
      </c>
      <c r="E20" s="23">
        <v>48</v>
      </c>
      <c r="F20" s="19">
        <v>5928</v>
      </c>
      <c r="G20" s="19">
        <v>3228</v>
      </c>
      <c r="H20" s="19">
        <v>1710</v>
      </c>
    </row>
    <row r="21" spans="1:8" ht="15.75" customHeight="1" x14ac:dyDescent="0.3">
      <c r="A21" s="21" t="s">
        <v>59</v>
      </c>
      <c r="B21" s="22">
        <v>261</v>
      </c>
      <c r="C21" s="22">
        <v>107</v>
      </c>
      <c r="D21" s="23">
        <v>2942</v>
      </c>
      <c r="E21" s="23">
        <v>3001</v>
      </c>
      <c r="F21" s="19"/>
      <c r="G21" s="19"/>
      <c r="H21" s="19"/>
    </row>
    <row r="22" spans="1:8" ht="15.75" customHeight="1" x14ac:dyDescent="0.3">
      <c r="A22" s="21" t="s">
        <v>60</v>
      </c>
      <c r="B22" s="22">
        <v>1275</v>
      </c>
      <c r="C22" s="22">
        <v>723</v>
      </c>
      <c r="D22" s="23">
        <v>6581</v>
      </c>
      <c r="E22" s="23">
        <v>7010</v>
      </c>
      <c r="F22" s="19">
        <v>16341</v>
      </c>
      <c r="G22" s="19">
        <v>9249</v>
      </c>
      <c r="H22" s="19">
        <v>8057</v>
      </c>
    </row>
    <row r="23" spans="1:8" ht="15.75" customHeight="1" x14ac:dyDescent="0.3">
      <c r="A23" s="25"/>
      <c r="B23" s="26">
        <v>4907</v>
      </c>
      <c r="C23" s="26">
        <v>4441</v>
      </c>
      <c r="D23" s="27">
        <f>SUM(D16:D22)</f>
        <v>35554</v>
      </c>
      <c r="E23" s="27">
        <f>SUM(E16:E22)</f>
        <v>48345</v>
      </c>
      <c r="F23" s="27">
        <f>SUM(F16:F22)</f>
        <v>58836</v>
      </c>
      <c r="G23" s="27">
        <f>SUM(G16:G22)</f>
        <v>49418</v>
      </c>
      <c r="H23" s="27">
        <f>SUM(H16:H22)</f>
        <v>40212</v>
      </c>
    </row>
    <row r="24" spans="1:8" ht="15.75" customHeight="1" x14ac:dyDescent="0.3">
      <c r="A24" s="21" t="s">
        <v>61</v>
      </c>
      <c r="B24" s="22">
        <v>1927</v>
      </c>
      <c r="C24" s="22"/>
      <c r="D24" s="19">
        <v>0</v>
      </c>
      <c r="E24" s="23">
        <v>3364</v>
      </c>
      <c r="F24" s="19">
        <v>6865</v>
      </c>
      <c r="G24" s="24">
        <v>364</v>
      </c>
      <c r="H24" s="24">
        <v>98</v>
      </c>
    </row>
    <row r="25" spans="1:8" ht="15.75" customHeight="1" x14ac:dyDescent="0.3">
      <c r="A25" s="25"/>
      <c r="B25" s="26">
        <v>6834</v>
      </c>
      <c r="C25" s="26">
        <v>4441</v>
      </c>
      <c r="D25" s="27">
        <f>SUM(D23:D24)</f>
        <v>35554</v>
      </c>
      <c r="E25" s="27">
        <f>SUM(E23:E24)</f>
        <v>51709</v>
      </c>
      <c r="F25" s="27">
        <f>SUM(F23:F24)</f>
        <v>65701</v>
      </c>
      <c r="G25" s="27">
        <f>SUM(G23:G24)</f>
        <v>49782</v>
      </c>
      <c r="H25" s="27">
        <f>SUM(H23:H24)</f>
        <v>40310</v>
      </c>
    </row>
    <row r="26" spans="1:8" ht="15.75" customHeight="1" x14ac:dyDescent="0.3">
      <c r="A26" s="16" t="s">
        <v>62</v>
      </c>
      <c r="B26" s="28">
        <v>16370</v>
      </c>
      <c r="C26" s="28">
        <v>17505</v>
      </c>
      <c r="D26" s="29">
        <f>D14+D23</f>
        <v>143517</v>
      </c>
      <c r="E26" s="29">
        <f>E14+E23</f>
        <v>193245</v>
      </c>
      <c r="F26" s="29">
        <f>F14+F23</f>
        <v>195456</v>
      </c>
      <c r="G26" s="29">
        <f>G14+G23</f>
        <v>164653</v>
      </c>
      <c r="H26" s="29">
        <f>H14+H23</f>
        <v>133213</v>
      </c>
    </row>
    <row r="27" spans="1:8" ht="15.75" customHeight="1" x14ac:dyDescent="0.3">
      <c r="A27" s="16" t="s">
        <v>63</v>
      </c>
      <c r="B27" s="28"/>
      <c r="C27" s="28"/>
      <c r="D27" s="19"/>
      <c r="E27" s="19"/>
      <c r="F27" s="20"/>
      <c r="G27" s="20"/>
      <c r="H27" s="20"/>
    </row>
    <row r="28" spans="1:8" ht="15.75" customHeight="1" x14ac:dyDescent="0.3">
      <c r="A28" s="21" t="s">
        <v>64</v>
      </c>
      <c r="B28" s="22"/>
      <c r="C28" s="22"/>
      <c r="D28" s="19">
        <v>0</v>
      </c>
      <c r="E28" s="19">
        <v>0</v>
      </c>
      <c r="F28" s="19">
        <v>0</v>
      </c>
      <c r="G28" s="19">
        <v>0</v>
      </c>
      <c r="H28" s="19">
        <v>0</v>
      </c>
    </row>
    <row r="29" spans="1:8" ht="15.75" customHeight="1" x14ac:dyDescent="0.3">
      <c r="A29" s="21" t="s">
        <v>65</v>
      </c>
      <c r="B29" s="22">
        <v>10434</v>
      </c>
      <c r="C29" s="22">
        <v>10701</v>
      </c>
      <c r="D29" s="23">
        <v>81863</v>
      </c>
      <c r="E29" s="23">
        <v>78279</v>
      </c>
      <c r="F29" s="19">
        <v>20507</v>
      </c>
      <c r="G29" s="19">
        <v>9801</v>
      </c>
      <c r="H29" s="19">
        <v>9898</v>
      </c>
    </row>
    <row r="30" spans="1:8" ht="15.75" customHeight="1" x14ac:dyDescent="0.3">
      <c r="A30" s="21" t="s">
        <v>66</v>
      </c>
      <c r="B30" s="22">
        <f>-1029-148</f>
        <v>-1177</v>
      </c>
      <c r="C30" s="22">
        <v>-1237</v>
      </c>
      <c r="D30" s="23">
        <v>-5324</v>
      </c>
      <c r="E30" s="23">
        <v>8249</v>
      </c>
      <c r="F30" s="19">
        <v>62347</v>
      </c>
      <c r="G30" s="19">
        <v>46815</v>
      </c>
      <c r="H30" s="19">
        <v>33350</v>
      </c>
    </row>
    <row r="31" spans="1:8" ht="15.75" customHeight="1" x14ac:dyDescent="0.3">
      <c r="A31" s="21" t="s">
        <v>67</v>
      </c>
      <c r="B31" s="22">
        <v>-9778</v>
      </c>
      <c r="C31" s="22">
        <v>-8540</v>
      </c>
      <c r="D31" s="23">
        <v>-23442</v>
      </c>
      <c r="E31" s="23">
        <v>-71495</v>
      </c>
      <c r="F31" s="19">
        <v>0</v>
      </c>
      <c r="G31" s="19">
        <v>0</v>
      </c>
      <c r="H31" s="19">
        <v>0</v>
      </c>
    </row>
    <row r="32" spans="1:8" ht="15.75" customHeight="1" x14ac:dyDescent="0.3">
      <c r="A32" s="21" t="s">
        <v>68</v>
      </c>
      <c r="B32" s="22"/>
      <c r="C32" s="22"/>
      <c r="D32" s="23">
        <v>5013</v>
      </c>
      <c r="E32" s="23">
        <v>5013</v>
      </c>
      <c r="F32" s="19">
        <v>3381</v>
      </c>
      <c r="G32" s="19">
        <v>3497</v>
      </c>
      <c r="H32" s="19">
        <v>3837</v>
      </c>
    </row>
    <row r="33" spans="1:8" ht="15.75" customHeight="1" x14ac:dyDescent="0.3">
      <c r="A33" s="21" t="s">
        <v>69</v>
      </c>
      <c r="B33" s="22">
        <v>-521</v>
      </c>
      <c r="C33" s="22">
        <v>924</v>
      </c>
      <c r="D33" s="30">
        <f>SUM(D28:D32)</f>
        <v>58110</v>
      </c>
      <c r="E33" s="30">
        <f>SUM(E28:E32)</f>
        <v>20046</v>
      </c>
      <c r="F33" s="30">
        <f>SUM(F28:F32)</f>
        <v>86235</v>
      </c>
      <c r="G33" s="30">
        <f>SUM(G28:G32)</f>
        <v>60113</v>
      </c>
      <c r="H33" s="30">
        <f>SUM(H28:H32)</f>
        <v>47085</v>
      </c>
    </row>
    <row r="34" spans="1:8" ht="15.75" customHeight="1" x14ac:dyDescent="0.3">
      <c r="A34" s="21" t="s">
        <v>70</v>
      </c>
      <c r="B34" s="22">
        <v>1162</v>
      </c>
      <c r="C34" s="22">
        <v>1166</v>
      </c>
      <c r="D34" s="23">
        <v>2830</v>
      </c>
      <c r="E34" s="23">
        <v>7609</v>
      </c>
      <c r="F34" s="19">
        <v>1541</v>
      </c>
      <c r="G34" s="19">
        <v>6655</v>
      </c>
      <c r="H34" s="19">
        <v>6678</v>
      </c>
    </row>
    <row r="35" spans="1:8" ht="15.75" customHeight="1" x14ac:dyDescent="0.3">
      <c r="A35" s="16" t="s">
        <v>71</v>
      </c>
      <c r="B35" s="28">
        <v>641</v>
      </c>
      <c r="C35" s="28">
        <v>2090</v>
      </c>
      <c r="D35" s="29">
        <f>SUM(D33:D34)</f>
        <v>60940</v>
      </c>
      <c r="E35" s="29">
        <f>SUM(E33:E34)</f>
        <v>27655</v>
      </c>
      <c r="F35" s="29">
        <f>SUM(F33:F34)</f>
        <v>87776</v>
      </c>
      <c r="G35" s="29">
        <f>SUM(G33:G34)</f>
        <v>66768</v>
      </c>
      <c r="H35" s="29">
        <f>SUM(H33:H34)</f>
        <v>53763</v>
      </c>
    </row>
    <row r="36" spans="1:8" ht="15.75" customHeight="1" x14ac:dyDescent="0.3">
      <c r="A36" s="16" t="s">
        <v>72</v>
      </c>
      <c r="B36" s="28"/>
      <c r="C36" s="28"/>
      <c r="D36" s="19"/>
      <c r="E36" s="19"/>
      <c r="F36" s="20"/>
      <c r="G36" s="20"/>
      <c r="H36" s="20"/>
    </row>
    <row r="37" spans="1:8" ht="15.75" customHeight="1" x14ac:dyDescent="0.3">
      <c r="A37" s="21" t="s">
        <v>73</v>
      </c>
      <c r="B37" s="22">
        <v>2027</v>
      </c>
      <c r="C37" s="22">
        <v>0</v>
      </c>
      <c r="D37" s="23">
        <v>30321</v>
      </c>
      <c r="E37" s="23">
        <v>11405</v>
      </c>
      <c r="F37" s="19">
        <v>55580</v>
      </c>
      <c r="G37" s="19">
        <v>45041</v>
      </c>
      <c r="H37" s="19">
        <v>33858</v>
      </c>
    </row>
    <row r="38" spans="1:8" ht="15.75" customHeight="1" x14ac:dyDescent="0.3">
      <c r="A38" s="21" t="s">
        <v>74</v>
      </c>
      <c r="B38" s="22">
        <v>115</v>
      </c>
      <c r="C38" s="22">
        <v>205</v>
      </c>
      <c r="D38" s="23">
        <v>531</v>
      </c>
      <c r="E38" s="23">
        <v>1880</v>
      </c>
      <c r="F38" s="23">
        <v>868</v>
      </c>
      <c r="G38" s="24">
        <v>722</v>
      </c>
      <c r="H38" s="24">
        <v>705</v>
      </c>
    </row>
    <row r="39" spans="1:8" ht="15.75" customHeight="1" x14ac:dyDescent="0.3">
      <c r="A39" s="21" t="s">
        <v>75</v>
      </c>
      <c r="B39" s="22">
        <v>556</v>
      </c>
      <c r="C39" s="22">
        <v>752</v>
      </c>
      <c r="D39" s="23">
        <v>5400</v>
      </c>
      <c r="E39" s="23">
        <v>10699</v>
      </c>
      <c r="F39" s="19">
        <v>10878</v>
      </c>
      <c r="G39" s="19">
        <v>9652</v>
      </c>
      <c r="H39" s="19">
        <v>7763</v>
      </c>
    </row>
    <row r="40" spans="1:8" ht="15.75" customHeight="1" x14ac:dyDescent="0.3">
      <c r="A40" s="21" t="s">
        <v>76</v>
      </c>
      <c r="B40" s="22">
        <v>182</v>
      </c>
      <c r="C40" s="22">
        <v>338</v>
      </c>
      <c r="D40" s="23">
        <v>1113</v>
      </c>
      <c r="E40" s="23">
        <v>3203</v>
      </c>
      <c r="F40" s="19">
        <v>1603</v>
      </c>
      <c r="G40" s="19">
        <v>2609</v>
      </c>
      <c r="H40" s="19">
        <v>2094</v>
      </c>
    </row>
    <row r="41" spans="1:8" ht="15.75" customHeight="1" x14ac:dyDescent="0.3">
      <c r="A41" s="21" t="s">
        <v>77</v>
      </c>
      <c r="B41" s="22">
        <v>69</v>
      </c>
      <c r="C41" s="22">
        <v>92</v>
      </c>
      <c r="D41" s="23">
        <v>620</v>
      </c>
      <c r="E41" s="23">
        <v>969</v>
      </c>
      <c r="F41" s="23">
        <v>388</v>
      </c>
      <c r="G41" s="24">
        <v>231</v>
      </c>
      <c r="H41" s="24">
        <v>218</v>
      </c>
    </row>
    <row r="42" spans="1:8" ht="15.75" customHeight="1" x14ac:dyDescent="0.3">
      <c r="A42" s="25"/>
      <c r="B42" s="26">
        <v>2949</v>
      </c>
      <c r="C42" s="26">
        <v>1387</v>
      </c>
      <c r="D42" s="27">
        <f>SUM(D37:D41)</f>
        <v>37985</v>
      </c>
      <c r="E42" s="27">
        <f>SUM(E37:E41)</f>
        <v>28156</v>
      </c>
      <c r="F42" s="29">
        <v>69317</v>
      </c>
      <c r="G42" s="29">
        <v>58255</v>
      </c>
      <c r="H42" s="29">
        <v>44638</v>
      </c>
    </row>
    <row r="43" spans="1:8" ht="15.75" customHeight="1" x14ac:dyDescent="0.3">
      <c r="A43" s="16" t="s">
        <v>78</v>
      </c>
      <c r="B43" s="28"/>
      <c r="C43" s="28"/>
      <c r="D43" s="19"/>
      <c r="E43" s="19"/>
      <c r="F43" s="20"/>
      <c r="G43" s="20"/>
      <c r="H43" s="20"/>
    </row>
    <row r="44" spans="1:8" ht="15.75" customHeight="1" x14ac:dyDescent="0.3">
      <c r="A44" s="21" t="s">
        <v>77</v>
      </c>
      <c r="B44" s="22">
        <v>2809</v>
      </c>
      <c r="C44" s="22">
        <v>3965</v>
      </c>
      <c r="D44" s="23">
        <v>15170</v>
      </c>
      <c r="E44" s="23">
        <v>38647</v>
      </c>
      <c r="F44" s="19">
        <v>34222</v>
      </c>
      <c r="G44" s="19">
        <v>29747</v>
      </c>
      <c r="H44" s="19">
        <v>25451</v>
      </c>
    </row>
    <row r="45" spans="1:8" ht="15.75" customHeight="1" x14ac:dyDescent="0.3">
      <c r="A45" s="21" t="s">
        <v>74</v>
      </c>
      <c r="B45" s="22">
        <v>147</v>
      </c>
      <c r="C45" s="22">
        <v>145</v>
      </c>
      <c r="D45" s="23">
        <v>630</v>
      </c>
      <c r="E45" s="23">
        <v>1376</v>
      </c>
      <c r="F45" s="23">
        <v>750</v>
      </c>
      <c r="G45" s="24">
        <v>888</v>
      </c>
      <c r="H45" s="24">
        <v>846</v>
      </c>
    </row>
    <row r="46" spans="1:8" ht="15.75" customHeight="1" x14ac:dyDescent="0.3">
      <c r="A46" s="21" t="s">
        <v>76</v>
      </c>
      <c r="B46" s="22">
        <v>175</v>
      </c>
      <c r="C46" s="22">
        <v>365</v>
      </c>
      <c r="D46" s="23">
        <v>1073</v>
      </c>
      <c r="E46" s="23">
        <v>3574</v>
      </c>
      <c r="F46" s="19">
        <v>1213</v>
      </c>
      <c r="G46" s="19">
        <v>1012</v>
      </c>
      <c r="H46" s="24">
        <v>895</v>
      </c>
    </row>
    <row r="47" spans="1:8" ht="15.75" customHeight="1" x14ac:dyDescent="0.3">
      <c r="A47" s="21" t="s">
        <v>73</v>
      </c>
      <c r="B47" s="22">
        <v>8318</v>
      </c>
      <c r="C47" s="22">
        <v>8609</v>
      </c>
      <c r="D47" s="23">
        <v>19775</v>
      </c>
      <c r="E47" s="23">
        <v>67890</v>
      </c>
      <c r="F47" s="19">
        <v>6411</v>
      </c>
      <c r="G47" s="19">
        <v>5117</v>
      </c>
      <c r="H47" s="19">
        <v>5192</v>
      </c>
    </row>
    <row r="48" spans="1:8" ht="15.75" customHeight="1" x14ac:dyDescent="0.3">
      <c r="A48" s="21" t="s">
        <v>79</v>
      </c>
      <c r="B48" s="22"/>
      <c r="C48" s="22"/>
      <c r="D48" s="23">
        <v>479</v>
      </c>
      <c r="E48" s="23">
        <v>1192</v>
      </c>
      <c r="F48" s="19">
        <v>0</v>
      </c>
      <c r="G48" s="19">
        <v>0</v>
      </c>
      <c r="H48" s="19">
        <v>0</v>
      </c>
    </row>
    <row r="49" spans="1:10" ht="15.75" customHeight="1" x14ac:dyDescent="0.3">
      <c r="A49" s="21" t="s">
        <v>80</v>
      </c>
      <c r="B49" s="22"/>
      <c r="C49" s="22"/>
      <c r="D49" s="23">
        <v>1608</v>
      </c>
      <c r="E49" s="23">
        <v>3034</v>
      </c>
      <c r="F49" s="19">
        <v>0</v>
      </c>
      <c r="G49" s="19">
        <v>0</v>
      </c>
      <c r="H49" s="19">
        <v>0</v>
      </c>
    </row>
    <row r="50" spans="1:10" ht="15.75" customHeight="1" x14ac:dyDescent="0.3">
      <c r="A50" s="21" t="s">
        <v>81</v>
      </c>
      <c r="B50" s="22">
        <v>45</v>
      </c>
      <c r="C50" s="22">
        <v>944</v>
      </c>
      <c r="D50" s="23">
        <v>0</v>
      </c>
      <c r="E50" s="23">
        <v>0</v>
      </c>
      <c r="F50" s="31">
        <v>0</v>
      </c>
      <c r="G50" s="19">
        <v>3162</v>
      </c>
      <c r="H50" s="19">
        <v>2090</v>
      </c>
    </row>
    <row r="51" spans="1:10" ht="15.75" customHeight="1" x14ac:dyDescent="0.3">
      <c r="A51" s="25"/>
      <c r="B51" s="26">
        <v>11494</v>
      </c>
      <c r="C51" s="26">
        <v>14028</v>
      </c>
      <c r="D51" s="27">
        <f>SUM(D44:D50)</f>
        <v>38735</v>
      </c>
      <c r="E51" s="27">
        <f>SUM(E44:E50)</f>
        <v>115713</v>
      </c>
      <c r="F51" s="29">
        <v>45032</v>
      </c>
      <c r="G51" s="29">
        <v>39926</v>
      </c>
      <c r="H51" s="29">
        <v>34474</v>
      </c>
    </row>
    <row r="52" spans="1:10" ht="15.75" customHeight="1" x14ac:dyDescent="0.3">
      <c r="A52" s="21" t="s">
        <v>82</v>
      </c>
      <c r="B52" s="22">
        <v>1286</v>
      </c>
      <c r="C52" s="22"/>
      <c r="D52" s="19">
        <v>0</v>
      </c>
      <c r="E52" s="19">
        <v>0</v>
      </c>
      <c r="F52" s="23">
        <v>196</v>
      </c>
      <c r="G52" s="24">
        <v>68</v>
      </c>
      <c r="H52" s="24">
        <v>436</v>
      </c>
    </row>
    <row r="53" spans="1:10" ht="15.75" customHeight="1" x14ac:dyDescent="0.3">
      <c r="A53" s="32"/>
      <c r="B53" s="26">
        <v>12780</v>
      </c>
      <c r="C53" s="26">
        <v>14028</v>
      </c>
      <c r="D53" s="27">
        <f>SUM(D51:D52)</f>
        <v>38735</v>
      </c>
      <c r="E53" s="27">
        <f>SUM(E51:E52)</f>
        <v>115713</v>
      </c>
      <c r="F53" s="27">
        <f>SUM(F51:F52)</f>
        <v>45228</v>
      </c>
      <c r="G53" s="27">
        <f>SUM(G51:G52)</f>
        <v>39994</v>
      </c>
      <c r="H53" s="27">
        <f>SUM(H51:H52)</f>
        <v>34910</v>
      </c>
    </row>
    <row r="54" spans="1:10" ht="15.75" customHeight="1" x14ac:dyDescent="0.3">
      <c r="A54" s="16" t="s">
        <v>83</v>
      </c>
      <c r="B54" s="28">
        <v>16370</v>
      </c>
      <c r="C54" s="28">
        <v>17505</v>
      </c>
      <c r="D54" s="29">
        <f>D35+D42+D53</f>
        <v>137660</v>
      </c>
      <c r="E54" s="29">
        <f>E35+E42+E53</f>
        <v>171524</v>
      </c>
      <c r="F54" s="29">
        <f>F35+F42+F53</f>
        <v>202321</v>
      </c>
      <c r="G54" s="29">
        <f>G35+G42+G53</f>
        <v>165017</v>
      </c>
      <c r="H54" s="29">
        <f>H35+H42+H53</f>
        <v>133311</v>
      </c>
      <c r="J54" s="2"/>
    </row>
    <row r="55" spans="1:10" ht="8.25" customHeight="1" x14ac:dyDescent="0.3">
      <c r="A55" s="102"/>
      <c r="B55" s="102"/>
      <c r="C55" s="102"/>
      <c r="D55" s="102"/>
      <c r="E55" s="102"/>
      <c r="F55" s="102"/>
      <c r="G55" s="102"/>
      <c r="H55" s="102"/>
    </row>
    <row r="56" spans="1:10" ht="14.25" customHeight="1" x14ac:dyDescent="0.3">
      <c r="A56" s="10" t="s">
        <v>84</v>
      </c>
      <c r="B56" s="10">
        <f t="shared" ref="B56:H56" si="0">B26-B54</f>
        <v>0</v>
      </c>
      <c r="C56" s="10">
        <f t="shared" si="0"/>
        <v>0</v>
      </c>
      <c r="D56" s="11">
        <f t="shared" si="0"/>
        <v>5857</v>
      </c>
      <c r="E56" s="11">
        <f t="shared" si="0"/>
        <v>21721</v>
      </c>
      <c r="F56" s="11">
        <f t="shared" si="0"/>
        <v>-6865</v>
      </c>
      <c r="G56" s="11">
        <f t="shared" si="0"/>
        <v>-364</v>
      </c>
      <c r="H56" s="11">
        <f t="shared" si="0"/>
        <v>-98</v>
      </c>
    </row>
    <row r="57" spans="1:10" ht="15" customHeight="1" x14ac:dyDescent="0.3">
      <c r="B57" s="33">
        <f t="shared" ref="B57:H57" si="1">B42+B53</f>
        <v>15729</v>
      </c>
      <c r="C57" s="33">
        <f t="shared" si="1"/>
        <v>15415</v>
      </c>
      <c r="D57" s="33">
        <f t="shared" si="1"/>
        <v>76720</v>
      </c>
      <c r="E57" s="33">
        <f t="shared" si="1"/>
        <v>143869</v>
      </c>
      <c r="F57" s="33">
        <f t="shared" si="1"/>
        <v>114545</v>
      </c>
      <c r="G57" s="33">
        <f t="shared" si="1"/>
        <v>98249</v>
      </c>
      <c r="H57" s="33">
        <f t="shared" si="1"/>
        <v>79548</v>
      </c>
    </row>
  </sheetData>
  <mergeCells count="2">
    <mergeCell ref="A1:H1"/>
    <mergeCell ref="A55:H55"/>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8"/>
  <sheetViews>
    <sheetView tabSelected="1" zoomScaleNormal="100" workbookViewId="0">
      <selection activeCell="K11" sqref="K11"/>
    </sheetView>
  </sheetViews>
  <sheetFormatPr defaultColWidth="8.88671875" defaultRowHeight="14.4" x14ac:dyDescent="0.3"/>
  <cols>
    <col min="1" max="1" width="65.33203125" style="10" customWidth="1"/>
    <col min="2" max="2" width="14.44140625" style="56" customWidth="1"/>
    <col min="3" max="3" width="18.6640625" style="56" customWidth="1"/>
    <col min="4" max="4" width="14.44140625" style="56" customWidth="1"/>
    <col min="5" max="6" width="17.109375" style="56" customWidth="1"/>
    <col min="7" max="7" width="15.88671875" style="56" customWidth="1"/>
    <col min="8" max="16384" width="8.88671875" style="10"/>
  </cols>
  <sheetData>
    <row r="1" spans="1:7" ht="18" customHeight="1" x14ac:dyDescent="0.3">
      <c r="A1" s="12" t="s">
        <v>121</v>
      </c>
      <c r="B1" s="57" t="s">
        <v>122</v>
      </c>
      <c r="C1" s="57" t="s">
        <v>123</v>
      </c>
      <c r="D1" s="57" t="s">
        <v>124</v>
      </c>
      <c r="E1" s="57" t="s">
        <v>125</v>
      </c>
      <c r="F1" s="57" t="s">
        <v>39</v>
      </c>
      <c r="G1" s="57" t="s">
        <v>40</v>
      </c>
    </row>
    <row r="2" spans="1:7" ht="18" customHeight="1" x14ac:dyDescent="0.3">
      <c r="A2" s="12" t="s">
        <v>126</v>
      </c>
      <c r="B2" s="57"/>
      <c r="C2" s="57"/>
      <c r="D2" s="57"/>
      <c r="E2" s="57"/>
      <c r="F2" s="57"/>
      <c r="G2" s="57"/>
    </row>
    <row r="3" spans="1:7" ht="18" customHeight="1" x14ac:dyDescent="0.3">
      <c r="A3" s="58" t="s">
        <v>127</v>
      </c>
      <c r="B3" s="59"/>
      <c r="C3" s="59">
        <v>5975</v>
      </c>
      <c r="D3" s="59">
        <v>2036</v>
      </c>
      <c r="E3" s="59">
        <v>26706</v>
      </c>
      <c r="F3" s="59">
        <v>21317</v>
      </c>
      <c r="G3" s="59">
        <v>12698</v>
      </c>
    </row>
    <row r="4" spans="1:7" ht="18" customHeight="1" x14ac:dyDescent="0.3">
      <c r="A4" s="58" t="s">
        <v>128</v>
      </c>
      <c r="B4" s="59"/>
      <c r="C4" s="59" t="s">
        <v>129</v>
      </c>
      <c r="D4" s="59">
        <v>-25</v>
      </c>
      <c r="E4" s="59">
        <v>-218</v>
      </c>
      <c r="F4" s="59">
        <v>-385</v>
      </c>
      <c r="G4" s="59">
        <v>-2090</v>
      </c>
    </row>
    <row r="5" spans="1:7" ht="18" customHeight="1" x14ac:dyDescent="0.3">
      <c r="A5" s="58" t="s">
        <v>352</v>
      </c>
      <c r="B5" s="59"/>
      <c r="C5" s="59"/>
      <c r="D5" s="59"/>
      <c r="E5" s="59"/>
      <c r="F5" s="59"/>
      <c r="G5" s="59"/>
    </row>
    <row r="6" spans="1:7" ht="18" customHeight="1" x14ac:dyDescent="0.3">
      <c r="A6" s="58" t="s">
        <v>130</v>
      </c>
      <c r="B6" s="59"/>
      <c r="C6" s="59">
        <v>-8652</v>
      </c>
      <c r="D6" s="59">
        <v>-142</v>
      </c>
      <c r="E6" s="59">
        <v>-3931</v>
      </c>
      <c r="F6" s="59">
        <v>-1818</v>
      </c>
      <c r="G6" s="59">
        <v>-696</v>
      </c>
    </row>
    <row r="7" spans="1:7" ht="18" customHeight="1" x14ac:dyDescent="0.3">
      <c r="A7" s="58" t="s">
        <v>131</v>
      </c>
      <c r="B7" s="59"/>
      <c r="C7" s="59">
        <v>-5739</v>
      </c>
      <c r="D7" s="59">
        <v>-186</v>
      </c>
      <c r="E7" s="59">
        <v>-1232</v>
      </c>
      <c r="F7" s="59">
        <v>-1842</v>
      </c>
      <c r="G7" s="59">
        <v>-1599</v>
      </c>
    </row>
    <row r="8" spans="1:7" ht="18" customHeight="1" x14ac:dyDescent="0.3">
      <c r="A8" s="58" t="s">
        <v>132</v>
      </c>
      <c r="B8" s="59"/>
      <c r="C8" s="59">
        <v>-3298</v>
      </c>
      <c r="D8" s="59">
        <v>-208</v>
      </c>
      <c r="E8" s="59">
        <v>-1039</v>
      </c>
      <c r="F8" s="59">
        <v>-1592</v>
      </c>
      <c r="G8" s="59">
        <v>-1093</v>
      </c>
    </row>
    <row r="9" spans="1:7" ht="18" customHeight="1" x14ac:dyDescent="0.3">
      <c r="A9" s="58" t="s">
        <v>133</v>
      </c>
      <c r="B9" s="59"/>
      <c r="C9" s="59">
        <v>-11714</v>
      </c>
      <c r="D9" s="59">
        <v>1475</v>
      </c>
      <c r="E9" s="59">
        <v>20286</v>
      </c>
      <c r="F9" s="59">
        <v>15680</v>
      </c>
      <c r="G9" s="59">
        <v>7220</v>
      </c>
    </row>
    <row r="10" spans="1:7" ht="18" customHeight="1" x14ac:dyDescent="0.3">
      <c r="A10" s="12" t="s">
        <v>134</v>
      </c>
      <c r="B10" s="59"/>
      <c r="C10" s="59" t="s">
        <v>135</v>
      </c>
      <c r="D10" s="59"/>
      <c r="E10" s="59"/>
      <c r="F10" s="59"/>
      <c r="G10" s="59"/>
    </row>
    <row r="11" spans="1:7" ht="18" customHeight="1" x14ac:dyDescent="0.3">
      <c r="A11" s="58" t="s">
        <v>136</v>
      </c>
      <c r="B11" s="59"/>
      <c r="C11" s="59">
        <v>-10472</v>
      </c>
      <c r="D11" s="59">
        <v>-520</v>
      </c>
      <c r="E11" s="59">
        <v>-4679</v>
      </c>
      <c r="F11" s="59">
        <v>-4948</v>
      </c>
      <c r="G11" s="59">
        <v>-6748</v>
      </c>
    </row>
    <row r="12" spans="1:7" ht="18" customHeight="1" x14ac:dyDescent="0.3">
      <c r="A12" s="58" t="s">
        <v>137</v>
      </c>
      <c r="B12" s="59"/>
      <c r="C12" s="59">
        <v>-799</v>
      </c>
      <c r="D12" s="59">
        <v>-167</v>
      </c>
      <c r="E12" s="59">
        <v>-258</v>
      </c>
      <c r="F12" s="59">
        <v>-381</v>
      </c>
      <c r="G12" s="59">
        <v>-368</v>
      </c>
    </row>
    <row r="13" spans="1:7" ht="18" customHeight="1" x14ac:dyDescent="0.3">
      <c r="A13" s="58" t="s">
        <v>138</v>
      </c>
      <c r="B13" s="59"/>
      <c r="C13" s="59" t="s">
        <v>135</v>
      </c>
      <c r="D13" s="59"/>
      <c r="E13" s="59"/>
      <c r="F13" s="59"/>
      <c r="G13" s="59"/>
    </row>
    <row r="14" spans="1:7" ht="18" customHeight="1" x14ac:dyDescent="0.3">
      <c r="A14" s="58" t="s">
        <v>139</v>
      </c>
      <c r="B14" s="59"/>
      <c r="C14" s="59">
        <v>266</v>
      </c>
      <c r="D14" s="59">
        <v>47</v>
      </c>
      <c r="E14" s="59">
        <v>213</v>
      </c>
      <c r="F14" s="59">
        <v>451</v>
      </c>
      <c r="G14" s="59">
        <v>302</v>
      </c>
    </row>
    <row r="15" spans="1:7" ht="18" customHeight="1" x14ac:dyDescent="0.3">
      <c r="A15" s="58" t="s">
        <v>140</v>
      </c>
      <c r="B15" s="59"/>
      <c r="C15" s="59">
        <v>-7144</v>
      </c>
      <c r="D15" s="59">
        <v>-2926</v>
      </c>
      <c r="E15" s="59">
        <v>-13366</v>
      </c>
      <c r="F15" s="59">
        <v>-6473</v>
      </c>
      <c r="G15" s="59">
        <v>-379</v>
      </c>
    </row>
    <row r="16" spans="1:7" ht="18" customHeight="1" x14ac:dyDescent="0.3">
      <c r="A16" s="58" t="s">
        <v>141</v>
      </c>
      <c r="B16" s="59"/>
      <c r="C16" s="59">
        <v>-192</v>
      </c>
      <c r="D16" s="59"/>
      <c r="E16" s="59">
        <v>0</v>
      </c>
      <c r="F16" s="59">
        <v>1955</v>
      </c>
      <c r="G16" s="59">
        <v>-13</v>
      </c>
    </row>
    <row r="17" spans="1:7" ht="18" customHeight="1" x14ac:dyDescent="0.3">
      <c r="A17" s="58" t="s">
        <v>142</v>
      </c>
      <c r="B17" s="59"/>
      <c r="C17" s="59">
        <v>-280</v>
      </c>
      <c r="D17" s="59">
        <v>-125</v>
      </c>
      <c r="E17" s="59">
        <v>22</v>
      </c>
      <c r="F17" s="59">
        <v>-5078</v>
      </c>
      <c r="G17" s="59">
        <v>-122</v>
      </c>
    </row>
    <row r="18" spans="1:7" ht="18" customHeight="1" x14ac:dyDescent="0.3">
      <c r="A18" s="58" t="s">
        <v>143</v>
      </c>
      <c r="B18" s="59"/>
      <c r="C18" s="59">
        <v>917</v>
      </c>
      <c r="D18" s="59"/>
      <c r="E18" s="59">
        <v>-6</v>
      </c>
      <c r="F18" s="59">
        <v>284</v>
      </c>
      <c r="G18" s="59">
        <v>65</v>
      </c>
    </row>
    <row r="19" spans="1:7" ht="18" customHeight="1" x14ac:dyDescent="0.3">
      <c r="A19" s="58" t="s">
        <v>144</v>
      </c>
      <c r="B19" s="59"/>
      <c r="C19" s="59">
        <v>281</v>
      </c>
      <c r="D19" s="59">
        <v>-273</v>
      </c>
      <c r="E19" s="59">
        <v>-2892</v>
      </c>
      <c r="F19" s="59">
        <v>-2211</v>
      </c>
      <c r="G19" s="59">
        <v>-969</v>
      </c>
    </row>
    <row r="20" spans="1:7" ht="18" customHeight="1" x14ac:dyDescent="0.3">
      <c r="A20" s="58" t="s">
        <v>145</v>
      </c>
      <c r="B20" s="59"/>
      <c r="C20" s="59">
        <v>-8046</v>
      </c>
      <c r="D20" s="59">
        <v>-221</v>
      </c>
      <c r="E20" s="59">
        <v>-164</v>
      </c>
      <c r="F20" s="59">
        <v>1</v>
      </c>
      <c r="G20" s="59">
        <v>47</v>
      </c>
    </row>
    <row r="21" spans="1:7" ht="18" customHeight="1" x14ac:dyDescent="0.3">
      <c r="A21" s="58" t="s">
        <v>146</v>
      </c>
      <c r="B21" s="59"/>
      <c r="C21" s="59" t="s">
        <v>129</v>
      </c>
      <c r="D21" s="59"/>
      <c r="E21" s="59">
        <v>-103</v>
      </c>
      <c r="F21" s="59">
        <v>29</v>
      </c>
      <c r="G21" s="59">
        <v>-465</v>
      </c>
    </row>
    <row r="22" spans="1:7" ht="18" customHeight="1" x14ac:dyDescent="0.3">
      <c r="A22" s="58" t="s">
        <v>147</v>
      </c>
      <c r="B22" s="59"/>
      <c r="C22" s="59">
        <v>-25469</v>
      </c>
      <c r="D22" s="59">
        <v>-4185</v>
      </c>
      <c r="E22" s="59">
        <v>-21233</v>
      </c>
      <c r="F22" s="59">
        <v>-16371</v>
      </c>
      <c r="G22" s="59">
        <v>-8650</v>
      </c>
    </row>
    <row r="23" spans="1:7" ht="18" customHeight="1" x14ac:dyDescent="0.3">
      <c r="A23" s="12" t="s">
        <v>148</v>
      </c>
      <c r="B23" s="59"/>
      <c r="C23" s="59" t="s">
        <v>135</v>
      </c>
      <c r="D23" s="59"/>
      <c r="E23" s="59"/>
      <c r="F23" s="59"/>
      <c r="G23" s="59"/>
    </row>
    <row r="24" spans="1:7" ht="18" customHeight="1" x14ac:dyDescent="0.3">
      <c r="A24" s="58" t="s">
        <v>149</v>
      </c>
      <c r="B24" s="59"/>
      <c r="C24" s="59"/>
      <c r="D24" s="59">
        <v>1683</v>
      </c>
      <c r="E24" s="59">
        <v>18200</v>
      </c>
      <c r="F24" s="59"/>
      <c r="G24" s="59"/>
    </row>
    <row r="25" spans="1:7" ht="18" customHeight="1" x14ac:dyDescent="0.3">
      <c r="A25" s="58" t="s">
        <v>150</v>
      </c>
      <c r="B25" s="59"/>
      <c r="C25" s="59"/>
      <c r="D25" s="59">
        <v>33</v>
      </c>
      <c r="E25" s="59">
        <v>2000</v>
      </c>
      <c r="F25" s="59"/>
      <c r="G25" s="59"/>
    </row>
    <row r="26" spans="1:7" ht="18" customHeight="1" x14ac:dyDescent="0.3">
      <c r="A26" s="58" t="s">
        <v>151</v>
      </c>
      <c r="B26" s="59"/>
      <c r="C26" s="59">
        <v>15</v>
      </c>
      <c r="D26" s="59">
        <v>-14</v>
      </c>
      <c r="E26" s="59">
        <v>-386</v>
      </c>
      <c r="F26" s="59">
        <v>-2</v>
      </c>
      <c r="G26" s="59">
        <v>-1</v>
      </c>
    </row>
    <row r="27" spans="1:7" ht="18" customHeight="1" x14ac:dyDescent="0.3">
      <c r="A27" s="58" t="s">
        <v>152</v>
      </c>
      <c r="B27" s="59"/>
      <c r="C27" s="59" t="s">
        <v>129</v>
      </c>
      <c r="D27" s="59" t="s">
        <v>49</v>
      </c>
      <c r="E27" s="59">
        <v>-499</v>
      </c>
      <c r="F27" s="59">
        <v>-378</v>
      </c>
      <c r="G27" s="59">
        <v>-398</v>
      </c>
    </row>
    <row r="28" spans="1:7" ht="18" customHeight="1" x14ac:dyDescent="0.3">
      <c r="A28" s="58" t="s">
        <v>153</v>
      </c>
      <c r="B28" s="59"/>
      <c r="C28" s="59">
        <v>-1435</v>
      </c>
      <c r="D28" s="59"/>
      <c r="E28" s="59">
        <v>0</v>
      </c>
      <c r="F28" s="59" t="s">
        <v>49</v>
      </c>
      <c r="G28" s="59">
        <v>-318</v>
      </c>
    </row>
    <row r="29" spans="1:7" ht="18" customHeight="1" x14ac:dyDescent="0.3">
      <c r="A29" s="58" t="s">
        <v>154</v>
      </c>
      <c r="B29" s="59"/>
      <c r="C29" s="59"/>
      <c r="D29" s="59">
        <v>-3</v>
      </c>
      <c r="E29" s="59"/>
      <c r="F29" s="59"/>
      <c r="G29" s="59"/>
    </row>
    <row r="30" spans="1:7" ht="18" customHeight="1" x14ac:dyDescent="0.3">
      <c r="A30" s="58" t="s">
        <v>146</v>
      </c>
      <c r="B30" s="59"/>
      <c r="C30" s="59"/>
      <c r="D30" s="59">
        <v>-76</v>
      </c>
      <c r="E30" s="59"/>
      <c r="F30" s="59"/>
      <c r="G30" s="59"/>
    </row>
    <row r="31" spans="1:7" ht="18" customHeight="1" x14ac:dyDescent="0.3">
      <c r="A31" s="58" t="s">
        <v>155</v>
      </c>
      <c r="B31" s="59"/>
      <c r="C31" s="59">
        <v>14968</v>
      </c>
      <c r="D31" s="59">
        <v>489</v>
      </c>
      <c r="E31" s="59">
        <v>-1106</v>
      </c>
      <c r="F31" s="59">
        <v>-443</v>
      </c>
      <c r="G31" s="59">
        <v>8</v>
      </c>
    </row>
    <row r="32" spans="1:7" ht="18" customHeight="1" x14ac:dyDescent="0.3">
      <c r="A32" s="58" t="s">
        <v>156</v>
      </c>
      <c r="B32" s="59"/>
      <c r="C32" s="59">
        <v>-10664</v>
      </c>
      <c r="D32" s="59">
        <v>1319</v>
      </c>
      <c r="E32" s="59">
        <v>12052</v>
      </c>
      <c r="F32" s="59">
        <v>11206</v>
      </c>
      <c r="G32" s="59">
        <v>7325</v>
      </c>
    </row>
    <row r="33" spans="1:7" ht="18" customHeight="1" x14ac:dyDescent="0.3">
      <c r="A33" s="58" t="s">
        <v>157</v>
      </c>
      <c r="B33" s="59"/>
      <c r="C33" s="59">
        <v>35202</v>
      </c>
      <c r="D33" s="59">
        <v>-533</v>
      </c>
      <c r="E33" s="59">
        <v>-6522</v>
      </c>
      <c r="F33" s="59">
        <v>-3722</v>
      </c>
      <c r="G33" s="59">
        <v>-5365</v>
      </c>
    </row>
    <row r="34" spans="1:7" ht="18" customHeight="1" x14ac:dyDescent="0.3">
      <c r="A34" s="58" t="s">
        <v>158</v>
      </c>
      <c r="B34" s="59"/>
      <c r="C34" s="59">
        <v>38086</v>
      </c>
      <c r="D34" s="59">
        <v>2898</v>
      </c>
      <c r="E34" s="59">
        <v>23739</v>
      </c>
      <c r="F34" s="59">
        <v>6661</v>
      </c>
      <c r="G34" s="59">
        <v>1251</v>
      </c>
    </row>
    <row r="35" spans="1:7" ht="18" customHeight="1" x14ac:dyDescent="0.3">
      <c r="A35" s="12" t="s">
        <v>159</v>
      </c>
      <c r="B35" s="59"/>
      <c r="C35" s="59">
        <v>902</v>
      </c>
      <c r="D35" s="59">
        <v>188</v>
      </c>
      <c r="E35" s="59">
        <v>22792</v>
      </c>
      <c r="F35" s="59">
        <v>5970</v>
      </c>
      <c r="G35" s="59">
        <v>-179</v>
      </c>
    </row>
    <row r="36" spans="1:7" ht="18" customHeight="1" x14ac:dyDescent="0.3">
      <c r="A36" s="58" t="s">
        <v>160</v>
      </c>
      <c r="B36" s="59"/>
      <c r="C36" s="59">
        <v>10614</v>
      </c>
      <c r="D36" s="59">
        <v>-121</v>
      </c>
      <c r="E36" s="59">
        <v>16341</v>
      </c>
      <c r="F36" s="59">
        <v>9249</v>
      </c>
      <c r="G36" s="59">
        <v>8057</v>
      </c>
    </row>
    <row r="37" spans="1:7" ht="18" customHeight="1" x14ac:dyDescent="0.3">
      <c r="A37" s="58" t="s">
        <v>161</v>
      </c>
      <c r="B37" s="59"/>
      <c r="C37" s="59">
        <v>-370</v>
      </c>
      <c r="D37" s="59">
        <v>294</v>
      </c>
      <c r="E37" s="59">
        <v>-1228</v>
      </c>
      <c r="F37" s="59">
        <v>1122</v>
      </c>
      <c r="G37" s="59">
        <v>1371</v>
      </c>
    </row>
    <row r="38" spans="1:7" ht="18" customHeight="1" x14ac:dyDescent="0.3">
      <c r="A38" s="12" t="s">
        <v>162</v>
      </c>
      <c r="B38" s="57"/>
      <c r="C38" s="57">
        <v>11146</v>
      </c>
      <c r="D38" s="57">
        <v>2861</v>
      </c>
      <c r="E38" s="57">
        <v>37905</v>
      </c>
      <c r="F38" s="57">
        <v>16341</v>
      </c>
      <c r="G38" s="57">
        <v>9249</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32"/>
  <sheetViews>
    <sheetView topLeftCell="A113" zoomScaleNormal="100" workbookViewId="0">
      <selection activeCell="I58" sqref="I58"/>
    </sheetView>
  </sheetViews>
  <sheetFormatPr defaultColWidth="8.6640625" defaultRowHeight="14.4" x14ac:dyDescent="0.3"/>
  <cols>
    <col min="1" max="1" width="15.6640625" style="34" customWidth="1"/>
    <col min="2" max="2" width="17" style="34" customWidth="1"/>
    <col min="3" max="3" width="19.5546875" style="34" customWidth="1"/>
    <col min="4" max="4" width="15.109375" style="34" customWidth="1"/>
    <col min="5" max="7" width="8.88671875" style="34" customWidth="1"/>
  </cols>
  <sheetData>
    <row r="1" spans="1:4" ht="18" customHeight="1" x14ac:dyDescent="0.3">
      <c r="A1" s="35"/>
      <c r="B1" s="35" t="s">
        <v>85</v>
      </c>
      <c r="C1" s="35"/>
      <c r="D1" s="36"/>
    </row>
    <row r="2" spans="1:4" ht="18" customHeight="1" x14ac:dyDescent="0.3">
      <c r="A2" s="35" t="s">
        <v>86</v>
      </c>
      <c r="B2" s="35"/>
      <c r="C2" s="35"/>
      <c r="D2" s="36"/>
    </row>
    <row r="3" spans="1:4" ht="18" customHeight="1" x14ac:dyDescent="0.3">
      <c r="A3" s="35" t="s">
        <v>1</v>
      </c>
      <c r="B3" s="35" t="s">
        <v>87</v>
      </c>
      <c r="C3" s="35" t="s">
        <v>88</v>
      </c>
      <c r="D3" s="35" t="s">
        <v>3</v>
      </c>
    </row>
    <row r="4" spans="1:4" ht="18" customHeight="1" x14ac:dyDescent="0.3">
      <c r="A4" s="36">
        <v>2012</v>
      </c>
      <c r="B4" s="37">
        <f>'Financial Position'!H25</f>
        <v>40310</v>
      </c>
      <c r="C4" s="37">
        <f>'Financial Position'!H53</f>
        <v>34910</v>
      </c>
      <c r="D4" s="38">
        <f>'Financial Position'!H25/'Financial Position'!H53</f>
        <v>1.1546834717845889</v>
      </c>
    </row>
    <row r="5" spans="1:4" ht="18" customHeight="1" x14ac:dyDescent="0.3">
      <c r="A5" s="36">
        <v>2013</v>
      </c>
      <c r="B5" s="37">
        <f>'Financial Position'!G25</f>
        <v>49782</v>
      </c>
      <c r="C5" s="37">
        <f>'Financial Position'!G53</f>
        <v>39994</v>
      </c>
      <c r="D5" s="38">
        <f>'Financial Position'!G25/'Financial Position'!G53</f>
        <v>1.2447367105065761</v>
      </c>
    </row>
    <row r="6" spans="1:4" ht="18" customHeight="1" x14ac:dyDescent="0.3">
      <c r="A6" s="36">
        <v>2014</v>
      </c>
      <c r="B6" s="37">
        <f>'Financial Position'!F25</f>
        <v>65701</v>
      </c>
      <c r="C6" s="37">
        <f>'Financial Position'!F53</f>
        <v>45228</v>
      </c>
      <c r="D6" s="38">
        <f>'Financial Position'!F25/'Financial Position'!F53</f>
        <v>1.4526620677456443</v>
      </c>
    </row>
    <row r="7" spans="1:4" ht="18" customHeight="1" x14ac:dyDescent="0.3">
      <c r="A7" s="36">
        <v>2015</v>
      </c>
      <c r="B7" s="37">
        <f>'Financial Position'!E25</f>
        <v>51709</v>
      </c>
      <c r="C7" s="37">
        <f>'Financial Position'!E53</f>
        <v>115713</v>
      </c>
      <c r="D7" s="38">
        <f>'Financial Position'!E25/'Financial Position'!E53</f>
        <v>0.44687286648864</v>
      </c>
    </row>
    <row r="8" spans="1:4" ht="18" customHeight="1" x14ac:dyDescent="0.3">
      <c r="A8" s="36">
        <v>2016</v>
      </c>
      <c r="B8" s="37">
        <f>'Financial Position'!D25</f>
        <v>35554</v>
      </c>
      <c r="C8" s="37">
        <f>'Financial Position'!D53</f>
        <v>38735</v>
      </c>
      <c r="D8" s="38">
        <f>'Financial Position'!D25/'Financial Position'!D53</f>
        <v>0.91787788821479277</v>
      </c>
    </row>
    <row r="9" spans="1:4" ht="18" customHeight="1" x14ac:dyDescent="0.3">
      <c r="A9" s="36">
        <v>2017</v>
      </c>
      <c r="B9" s="37">
        <f>'Financial Position'!C25</f>
        <v>4441</v>
      </c>
      <c r="C9" s="37">
        <f>'Financial Position'!C53</f>
        <v>14028</v>
      </c>
      <c r="D9" s="38">
        <f>B9/C9</f>
        <v>0.31658112346735101</v>
      </c>
    </row>
    <row r="10" spans="1:4" ht="18" customHeight="1" x14ac:dyDescent="0.3">
      <c r="A10" s="36">
        <v>2018</v>
      </c>
      <c r="B10" s="37">
        <f>'Financial Position'!B25</f>
        <v>6834</v>
      </c>
      <c r="C10" s="37">
        <f>'Financial Position'!B53</f>
        <v>12780</v>
      </c>
      <c r="D10" s="38">
        <f>B10/C10</f>
        <v>0.53474178403755868</v>
      </c>
    </row>
    <row r="11" spans="1:4" ht="18" customHeight="1" x14ac:dyDescent="0.3">
      <c r="B11" s="39"/>
      <c r="C11" s="39"/>
    </row>
    <row r="12" spans="1:4" ht="18" customHeight="1" x14ac:dyDescent="0.3">
      <c r="A12" s="40" t="s">
        <v>89</v>
      </c>
      <c r="B12" s="41"/>
      <c r="C12" s="41"/>
      <c r="D12" s="42"/>
    </row>
    <row r="13" spans="1:4" ht="18" customHeight="1" x14ac:dyDescent="0.3">
      <c r="A13" s="40" t="s">
        <v>90</v>
      </c>
      <c r="B13" s="41"/>
      <c r="C13" s="41"/>
      <c r="D13" s="42"/>
    </row>
    <row r="14" spans="1:4" ht="18" customHeight="1" x14ac:dyDescent="0.3">
      <c r="A14" s="40" t="s">
        <v>91</v>
      </c>
      <c r="B14" s="41"/>
      <c r="C14" s="41"/>
      <c r="D14" s="42"/>
    </row>
    <row r="15" spans="1:4" ht="18" customHeight="1" x14ac:dyDescent="0.3">
      <c r="A15" s="40" t="s">
        <v>92</v>
      </c>
      <c r="B15" s="40"/>
      <c r="C15" s="40"/>
      <c r="D15" s="42"/>
    </row>
    <row r="17" spans="1:4" ht="18" customHeight="1" x14ac:dyDescent="0.3">
      <c r="A17" s="35" t="s">
        <v>93</v>
      </c>
      <c r="B17" s="35"/>
      <c r="C17" s="35"/>
    </row>
    <row r="18" spans="1:4" ht="18" customHeight="1" x14ac:dyDescent="0.3">
      <c r="A18" s="43" t="s">
        <v>1</v>
      </c>
      <c r="B18" s="36"/>
      <c r="C18" s="35" t="s">
        <v>94</v>
      </c>
    </row>
    <row r="19" spans="1:4" ht="18" customHeight="1" x14ac:dyDescent="0.3">
      <c r="A19" s="44">
        <v>2012</v>
      </c>
      <c r="B19" s="45">
        <f>'Financial Position'!H25-'Financial Position'!H17</f>
        <v>25771</v>
      </c>
      <c r="C19" s="38">
        <f>B19/'Financial Position'!H53</f>
        <v>0.73821254654826696</v>
      </c>
    </row>
    <row r="20" spans="1:4" ht="18" customHeight="1" x14ac:dyDescent="0.3">
      <c r="A20" s="44">
        <v>2013</v>
      </c>
      <c r="B20" s="45">
        <f>'Financial Position'!G25-'Financial Position'!G17</f>
        <v>33335</v>
      </c>
      <c r="C20" s="38">
        <f>B20/'Financial Position'!G53</f>
        <v>0.83350002500375053</v>
      </c>
    </row>
    <row r="21" spans="1:4" ht="18" customHeight="1" x14ac:dyDescent="0.3">
      <c r="A21" s="44">
        <v>2014</v>
      </c>
      <c r="B21" s="45">
        <f>'Financial Position'!F25-'Financial Position'!F17</f>
        <v>47780</v>
      </c>
      <c r="C21" s="38">
        <f>B21/'Financial Position'!F53</f>
        <v>1.056425223312992</v>
      </c>
    </row>
    <row r="22" spans="1:4" ht="18" customHeight="1" x14ac:dyDescent="0.3">
      <c r="A22" s="44">
        <v>2015</v>
      </c>
      <c r="B22" s="45">
        <f>'Financial Position'!E25-'Financial Position'!E17</f>
        <v>24078</v>
      </c>
      <c r="C22" s="38">
        <f>B22/'Financial Position'!E53</f>
        <v>0.20808379352363174</v>
      </c>
    </row>
    <row r="23" spans="1:4" ht="18" customHeight="1" x14ac:dyDescent="0.3">
      <c r="A23" s="44">
        <v>2016</v>
      </c>
      <c r="B23" s="45">
        <f>'Financial Position'!D25-'Financial Position'!D17</f>
        <v>21763</v>
      </c>
      <c r="C23" s="38">
        <f>B23/'Financial Position'!D53</f>
        <v>0.56184329417839163</v>
      </c>
    </row>
    <row r="24" spans="1:4" ht="18" customHeight="1" x14ac:dyDescent="0.3">
      <c r="A24" s="44">
        <v>2017</v>
      </c>
      <c r="B24" s="45">
        <f>'Financial Position'!C25-'Financial Position'!C17</f>
        <v>1885</v>
      </c>
      <c r="C24" s="38">
        <f>B24/'Financial Position'!C53</f>
        <v>0.13437410892500712</v>
      </c>
    </row>
    <row r="25" spans="1:4" ht="18" customHeight="1" x14ac:dyDescent="0.3">
      <c r="A25" s="44">
        <v>2018</v>
      </c>
      <c r="B25" s="45">
        <f>'Financial Position'!B25-'Financial Position'!B17</f>
        <v>4679</v>
      </c>
      <c r="C25" s="38">
        <f>B25/'Financial Position'!B53</f>
        <v>0.3661189358372457</v>
      </c>
    </row>
    <row r="27" spans="1:4" ht="18" customHeight="1" x14ac:dyDescent="0.3">
      <c r="A27" s="40" t="s">
        <v>95</v>
      </c>
      <c r="B27" s="46"/>
      <c r="C27" s="40"/>
      <c r="D27" s="40"/>
    </row>
    <row r="28" spans="1:4" ht="18" customHeight="1" x14ac:dyDescent="0.3">
      <c r="A28" s="40" t="s">
        <v>96</v>
      </c>
      <c r="B28" s="46"/>
      <c r="C28" s="40"/>
      <c r="D28" s="40"/>
    </row>
    <row r="29" spans="1:4" ht="18" customHeight="1" x14ac:dyDescent="0.3">
      <c r="A29" s="40" t="s">
        <v>97</v>
      </c>
      <c r="B29" s="40"/>
      <c r="C29" s="40"/>
      <c r="D29" s="40"/>
    </row>
    <row r="30" spans="1:4" ht="18" customHeight="1" x14ac:dyDescent="0.3">
      <c r="A30" s="47"/>
      <c r="B30" s="47"/>
      <c r="C30" s="47"/>
      <c r="D30" s="47"/>
    </row>
    <row r="31" spans="1:4" ht="18" customHeight="1" x14ac:dyDescent="0.3">
      <c r="A31" s="35" t="s">
        <v>98</v>
      </c>
      <c r="B31" s="35"/>
      <c r="C31" s="35"/>
      <c r="D31" s="35"/>
    </row>
    <row r="32" spans="1:4" ht="18" customHeight="1" x14ac:dyDescent="0.3">
      <c r="A32" s="43" t="s">
        <v>1</v>
      </c>
      <c r="B32" s="43" t="s">
        <v>99</v>
      </c>
      <c r="C32" s="43" t="s">
        <v>100</v>
      </c>
      <c r="D32" s="43" t="s">
        <v>101</v>
      </c>
    </row>
    <row r="33" spans="1:6" ht="18" customHeight="1" x14ac:dyDescent="0.3">
      <c r="A33" s="44">
        <v>2012</v>
      </c>
      <c r="B33" s="48">
        <f>'Financial Position'!H37+'Financial Position'!H47</f>
        <v>39050</v>
      </c>
      <c r="C33" s="48">
        <f>'Financial Position'!H35</f>
        <v>53763</v>
      </c>
      <c r="D33" s="64">
        <f t="shared" ref="D33:D39" si="0">B33/C33</f>
        <v>0.7263359559548388</v>
      </c>
      <c r="F33" s="34">
        <f>'Financial Position'!H37+'Financial Position'!H47</f>
        <v>39050</v>
      </c>
    </row>
    <row r="34" spans="1:6" ht="18" customHeight="1" x14ac:dyDescent="0.3">
      <c r="A34" s="44">
        <v>2013</v>
      </c>
      <c r="B34" s="48">
        <f>'Financial Position'!G37+'Financial Position'!G47</f>
        <v>50158</v>
      </c>
      <c r="C34" s="48">
        <f>'Financial Position'!G35</f>
        <v>66768</v>
      </c>
      <c r="D34" s="64">
        <f t="shared" si="0"/>
        <v>0.75122813323747906</v>
      </c>
      <c r="F34" s="34">
        <f>'Financial Position'!G37+'Financial Position'!G47</f>
        <v>50158</v>
      </c>
    </row>
    <row r="35" spans="1:6" ht="18" customHeight="1" x14ac:dyDescent="0.3">
      <c r="A35" s="44">
        <v>2014</v>
      </c>
      <c r="B35" s="48">
        <f>'Financial Position'!F37+'Financial Position'!F47</f>
        <v>61991</v>
      </c>
      <c r="C35" s="48">
        <f>'Financial Position'!F35</f>
        <v>87776</v>
      </c>
      <c r="D35" s="64">
        <f t="shared" si="0"/>
        <v>0.7062408858913598</v>
      </c>
      <c r="F35" s="34">
        <f>'Financial Position'!F37+'Financial Position'!F47</f>
        <v>61991</v>
      </c>
    </row>
    <row r="36" spans="1:6" ht="18" customHeight="1" x14ac:dyDescent="0.3">
      <c r="A36" s="44">
        <v>2015</v>
      </c>
      <c r="B36" s="48">
        <f>'Financial Position'!E37+'Financial Position'!E47</f>
        <v>79295</v>
      </c>
      <c r="C36" s="48">
        <f>'Financial Position'!E35</f>
        <v>27655</v>
      </c>
      <c r="D36" s="64">
        <f t="shared" si="0"/>
        <v>2.8672934369915026</v>
      </c>
      <c r="F36" s="34">
        <f>'Financial Position'!E37+'Financial Position'!E47</f>
        <v>79295</v>
      </c>
    </row>
    <row r="37" spans="1:6" ht="18" customHeight="1" x14ac:dyDescent="0.3">
      <c r="A37" s="44">
        <v>2016</v>
      </c>
      <c r="B37" s="48">
        <f>'Financial Position'!D37+'Financial Position'!D47</f>
        <v>50096</v>
      </c>
      <c r="C37" s="48">
        <f>'Financial Position'!D35</f>
        <v>60940</v>
      </c>
      <c r="D37" s="64">
        <f t="shared" si="0"/>
        <v>0.82205447981621271</v>
      </c>
      <c r="F37" s="34">
        <f>'Financial Position'!D37+'Financial Position'!D47</f>
        <v>50096</v>
      </c>
    </row>
    <row r="38" spans="1:6" ht="18" customHeight="1" x14ac:dyDescent="0.3">
      <c r="A38" s="44">
        <v>2017</v>
      </c>
      <c r="B38" s="48">
        <f>'Financial Position'!C37+'Financial Position'!C47</f>
        <v>8609</v>
      </c>
      <c r="C38" s="48">
        <f>'Financial Position'!C35</f>
        <v>2090</v>
      </c>
      <c r="D38" s="64">
        <f t="shared" si="0"/>
        <v>4.1191387559808614</v>
      </c>
    </row>
    <row r="39" spans="1:6" ht="18" customHeight="1" x14ac:dyDescent="0.3">
      <c r="A39" s="44">
        <v>2018</v>
      </c>
      <c r="B39" s="48">
        <f>'Financial Position'!B37+'Financial Position'!B47</f>
        <v>10345</v>
      </c>
      <c r="C39" s="48">
        <f>'Financial Position'!B35</f>
        <v>641</v>
      </c>
      <c r="D39" s="64">
        <f t="shared" si="0"/>
        <v>16.138845553822154</v>
      </c>
    </row>
    <row r="40" spans="1:6" ht="18" customHeight="1" x14ac:dyDescent="0.3">
      <c r="A40" s="50"/>
      <c r="B40" s="51"/>
      <c r="C40" s="51"/>
      <c r="D40" s="50"/>
    </row>
    <row r="42" spans="1:6" ht="18" customHeight="1" x14ac:dyDescent="0.3">
      <c r="A42" s="36"/>
      <c r="B42" s="36"/>
      <c r="C42" s="36"/>
      <c r="D42" s="36"/>
    </row>
    <row r="43" spans="1:6" ht="18" customHeight="1" x14ac:dyDescent="0.3">
      <c r="A43" s="35" t="s">
        <v>6</v>
      </c>
      <c r="B43" s="35"/>
      <c r="C43" s="35"/>
      <c r="D43" s="35"/>
    </row>
    <row r="44" spans="1:6" ht="18" customHeight="1" x14ac:dyDescent="0.3">
      <c r="A44" s="43" t="s">
        <v>1</v>
      </c>
      <c r="B44" s="43" t="s">
        <v>6</v>
      </c>
      <c r="C44" s="36"/>
      <c r="D44" s="36"/>
    </row>
    <row r="45" spans="1:6" ht="18" customHeight="1" x14ac:dyDescent="0.3">
      <c r="A45" s="44">
        <v>2012</v>
      </c>
      <c r="B45" s="52">
        <f>B33/'Financial Position'!H26</f>
        <v>0.29313955845150247</v>
      </c>
      <c r="C45" s="36"/>
      <c r="D45" s="36"/>
    </row>
    <row r="46" spans="1:6" ht="18" customHeight="1" x14ac:dyDescent="0.3">
      <c r="A46" s="44">
        <v>2013</v>
      </c>
      <c r="B46" s="52">
        <f>B34/'Financial Position'!G26</f>
        <v>0.30462852180039235</v>
      </c>
      <c r="C46" s="36"/>
      <c r="D46" s="36"/>
    </row>
    <row r="47" spans="1:6" ht="18" customHeight="1" x14ac:dyDescent="0.3">
      <c r="A47" s="44">
        <v>2014</v>
      </c>
      <c r="B47" s="52">
        <f>B35/'Financial Position'!F26</f>
        <v>0.31716089554682386</v>
      </c>
      <c r="C47" s="36"/>
      <c r="D47" s="36"/>
    </row>
    <row r="48" spans="1:6" ht="18" customHeight="1" x14ac:dyDescent="0.3">
      <c r="A48" s="44">
        <v>2015</v>
      </c>
      <c r="B48" s="52">
        <f>B36/'Financial Position'!E26</f>
        <v>0.41033403192838108</v>
      </c>
      <c r="C48" s="36"/>
      <c r="D48" s="36"/>
    </row>
    <row r="49" spans="1:4" ht="18" customHeight="1" x14ac:dyDescent="0.3">
      <c r="A49" s="44">
        <v>2016</v>
      </c>
      <c r="B49" s="52">
        <f>B37/'Financial Position'!D26</f>
        <v>0.34905969327675468</v>
      </c>
      <c r="C49" s="36"/>
      <c r="D49" s="36"/>
    </row>
    <row r="50" spans="1:4" ht="18" customHeight="1" x14ac:dyDescent="0.3">
      <c r="A50" s="44">
        <v>2017</v>
      </c>
      <c r="B50" s="52">
        <f>B38/'Financial Position'!C26</f>
        <v>0.49180234218794633</v>
      </c>
      <c r="C50" s="36"/>
      <c r="D50" s="36"/>
    </row>
    <row r="51" spans="1:4" ht="18" customHeight="1" x14ac:dyDescent="0.3">
      <c r="A51" s="44">
        <v>2018</v>
      </c>
      <c r="B51" s="52">
        <f>B39/'Financial Position'!B26</f>
        <v>0.63194868662186932</v>
      </c>
      <c r="C51" s="36"/>
      <c r="D51" s="36"/>
    </row>
    <row r="52" spans="1:4" ht="18" customHeight="1" x14ac:dyDescent="0.3">
      <c r="A52" s="50"/>
      <c r="B52" s="53"/>
    </row>
    <row r="53" spans="1:4" ht="18" customHeight="1" x14ac:dyDescent="0.3">
      <c r="A53" s="50"/>
      <c r="B53" s="53"/>
    </row>
    <row r="54" spans="1:4" ht="18" customHeight="1" x14ac:dyDescent="0.3">
      <c r="A54" s="50"/>
      <c r="B54" s="53"/>
    </row>
    <row r="55" spans="1:4" ht="18" customHeight="1" x14ac:dyDescent="0.3">
      <c r="A55" s="40" t="s">
        <v>102</v>
      </c>
      <c r="B55" s="40"/>
      <c r="C55" s="40"/>
      <c r="D55" s="40"/>
    </row>
    <row r="56" spans="1:4" ht="18" customHeight="1" x14ac:dyDescent="0.3">
      <c r="A56" s="40" t="s">
        <v>103</v>
      </c>
      <c r="B56" s="40"/>
      <c r="C56" s="40"/>
      <c r="D56" s="40"/>
    </row>
    <row r="57" spans="1:4" ht="18" customHeight="1" x14ac:dyDescent="0.3">
      <c r="A57" s="35" t="s">
        <v>104</v>
      </c>
      <c r="B57" s="35"/>
      <c r="C57" s="35"/>
      <c r="D57" s="35"/>
    </row>
    <row r="58" spans="1:4" ht="18" customHeight="1" x14ac:dyDescent="0.3">
      <c r="A58" s="43" t="s">
        <v>1</v>
      </c>
      <c r="B58" s="43" t="s">
        <v>17</v>
      </c>
      <c r="C58" s="43" t="s">
        <v>19</v>
      </c>
      <c r="D58" s="43" t="s">
        <v>105</v>
      </c>
    </row>
    <row r="59" spans="1:4" ht="18" customHeight="1" x14ac:dyDescent="0.3">
      <c r="A59" s="44">
        <v>2013</v>
      </c>
      <c r="B59" s="48">
        <f>'Income Statement'!G2</f>
        <v>97938</v>
      </c>
      <c r="C59" s="48">
        <f>'Income Statement'!G4</f>
        <v>34396</v>
      </c>
      <c r="D59" s="52">
        <f>'Income Statement'!G4/'Income Statement'!G2</f>
        <v>0.35120178071841368</v>
      </c>
    </row>
    <row r="60" spans="1:4" ht="18" customHeight="1" x14ac:dyDescent="0.3">
      <c r="A60" s="44">
        <v>2014</v>
      </c>
      <c r="B60" s="48">
        <f>'Income Statement'!F2</f>
        <v>117364</v>
      </c>
      <c r="C60" s="48">
        <f>'Income Statement'!F4</f>
        <v>41918</v>
      </c>
      <c r="D60" s="52">
        <f>'Income Statement'!F4/'Income Statement'!F2</f>
        <v>0.35716233257216862</v>
      </c>
    </row>
    <row r="61" spans="1:4" ht="18" customHeight="1" x14ac:dyDescent="0.3">
      <c r="A61" s="44">
        <v>2015</v>
      </c>
      <c r="B61" s="48">
        <f>'Income Statement'!E2</f>
        <v>43445</v>
      </c>
      <c r="C61" s="48">
        <f>'Income Statement'!E4</f>
        <v>13640</v>
      </c>
      <c r="D61" s="52">
        <f>'Income Statement'!E4/'Income Statement'!E2</f>
        <v>0.31396017953734606</v>
      </c>
    </row>
    <row r="62" spans="1:4" ht="18" customHeight="1" x14ac:dyDescent="0.3">
      <c r="A62" s="44">
        <v>2016</v>
      </c>
      <c r="B62" s="48">
        <f>'Income Statement'!D2</f>
        <v>99848</v>
      </c>
      <c r="C62" s="48">
        <f>'Income Statement'!D4</f>
        <v>30975</v>
      </c>
      <c r="D62" s="52">
        <f>'Income Statement'!D4/'Income Statement'!D2</f>
        <v>0.31022153673583847</v>
      </c>
    </row>
    <row r="63" spans="1:4" ht="18" customHeight="1" x14ac:dyDescent="0.3">
      <c r="A63" s="44">
        <v>2017</v>
      </c>
      <c r="B63" s="48">
        <f>'Income Statement'!C2</f>
        <v>187095</v>
      </c>
      <c r="C63" s="48">
        <f>'Income Statement'!C4</f>
        <v>72641</v>
      </c>
      <c r="D63" s="52">
        <f>'Income Statement'!C4/'Income Statement'!C2</f>
        <v>0.38825730243993695</v>
      </c>
    </row>
    <row r="64" spans="1:4" ht="18" customHeight="1" x14ac:dyDescent="0.3">
      <c r="A64" s="44">
        <v>2018</v>
      </c>
      <c r="B64" s="48">
        <f>'Income Statement'!B2</f>
        <v>200477</v>
      </c>
      <c r="C64" s="48">
        <f>'Income Statement'!B4</f>
        <v>77534</v>
      </c>
      <c r="D64" s="52">
        <f>'Income Statement'!B4/'Income Statement'!B2</f>
        <v>0.38674760695740656</v>
      </c>
    </row>
    <row r="66" spans="1:4" ht="18" customHeight="1" x14ac:dyDescent="0.3">
      <c r="A66" s="4" t="s">
        <v>106</v>
      </c>
      <c r="B66" s="4"/>
      <c r="C66" s="4"/>
      <c r="D66" s="4"/>
    </row>
    <row r="67" spans="1:4" ht="18" customHeight="1" x14ac:dyDescent="0.3">
      <c r="A67" s="43" t="s">
        <v>1</v>
      </c>
      <c r="B67" s="43" t="s">
        <v>105</v>
      </c>
      <c r="C67" s="36"/>
      <c r="D67" s="36"/>
    </row>
    <row r="68" spans="1:4" ht="18" customHeight="1" x14ac:dyDescent="0.3">
      <c r="A68" s="44">
        <v>2013</v>
      </c>
      <c r="B68" s="52">
        <f>'Income Statement'!G10/'Income Statement'!G2</f>
        <v>9.6581510751700059E-2</v>
      </c>
      <c r="C68" s="36"/>
      <c r="D68" s="36"/>
    </row>
    <row r="69" spans="1:4" ht="18" customHeight="1" x14ac:dyDescent="0.3">
      <c r="A69" s="44">
        <v>2014</v>
      </c>
      <c r="B69" s="52">
        <f>'Income Statement'!F10/'Income Statement'!F2</f>
        <v>0.12032650557240721</v>
      </c>
      <c r="C69" s="36"/>
      <c r="D69" s="36"/>
    </row>
    <row r="70" spans="1:4" ht="18" customHeight="1" x14ac:dyDescent="0.3">
      <c r="A70" s="44">
        <v>2015</v>
      </c>
      <c r="B70" s="52">
        <f>'Income Statement'!E10/'Income Statement'!E2</f>
        <v>0.12385775117965243</v>
      </c>
      <c r="C70" s="36"/>
      <c r="D70" s="36"/>
    </row>
    <row r="71" spans="1:4" ht="18" customHeight="1" x14ac:dyDescent="0.3">
      <c r="A71" s="44">
        <v>2016</v>
      </c>
      <c r="B71" s="52">
        <f>'Income Statement'!D10/'Income Statement'!D2</f>
        <v>9.3121544748016982E-2</v>
      </c>
      <c r="C71" s="36"/>
      <c r="D71" s="36"/>
    </row>
    <row r="72" spans="1:4" ht="18" customHeight="1" x14ac:dyDescent="0.3">
      <c r="A72" s="44">
        <v>2017</v>
      </c>
      <c r="B72" s="52">
        <f>'Income Statement'!C10/'Income Statement'!C2</f>
        <v>-1.2058045378016516E-2</v>
      </c>
      <c r="C72" s="36"/>
      <c r="D72" s="36"/>
    </row>
    <row r="73" spans="1:4" ht="18" customHeight="1" x14ac:dyDescent="0.3">
      <c r="A73" s="44">
        <v>2018</v>
      </c>
      <c r="B73" s="52">
        <f>'Income Statement'!B10/'Income Statement'!B2</f>
        <v>6.2500935269382525E-3</v>
      </c>
      <c r="C73" s="36"/>
      <c r="D73" s="36"/>
    </row>
    <row r="76" spans="1:4" ht="18" customHeight="1" x14ac:dyDescent="0.3">
      <c r="A76" s="40" t="s">
        <v>107</v>
      </c>
      <c r="B76" s="40"/>
      <c r="C76" s="40"/>
    </row>
    <row r="78" spans="1:4" ht="18" customHeight="1" x14ac:dyDescent="0.3">
      <c r="A78" s="4" t="s">
        <v>15</v>
      </c>
      <c r="B78" s="4"/>
      <c r="C78" s="4"/>
      <c r="D78" s="4"/>
    </row>
    <row r="79" spans="1:4" ht="18" customHeight="1" x14ac:dyDescent="0.3">
      <c r="A79" s="43" t="s">
        <v>1</v>
      </c>
      <c r="B79" s="43" t="s">
        <v>105</v>
      </c>
      <c r="C79" s="36"/>
      <c r="D79" s="36"/>
    </row>
    <row r="80" spans="1:4" ht="18" customHeight="1" x14ac:dyDescent="0.3">
      <c r="A80" s="44">
        <v>2013</v>
      </c>
      <c r="B80" s="52">
        <f>'Income Statement'!G19/'Income Statement'!G2</f>
        <v>8.1163593293716432E-2</v>
      </c>
      <c r="C80" s="36"/>
      <c r="D80" s="36"/>
    </row>
    <row r="81" spans="1:4" ht="18" customHeight="1" x14ac:dyDescent="0.3">
      <c r="A81" s="44">
        <v>2014</v>
      </c>
      <c r="B81" s="54">
        <f>'Income Statement'!F19/'Income Statement'!F2</f>
        <v>8.4037694693432405E-2</v>
      </c>
      <c r="C81" s="36"/>
      <c r="D81" s="36"/>
    </row>
    <row r="82" spans="1:4" ht="18" customHeight="1" x14ac:dyDescent="0.3">
      <c r="A82" s="44">
        <v>2015</v>
      </c>
      <c r="B82" s="54">
        <f>'Income Statement'!E19/'Income Statement'!E2</f>
        <v>0.26359765220393599</v>
      </c>
      <c r="C82" s="36"/>
      <c r="D82" s="36"/>
    </row>
    <row r="83" spans="1:4" ht="18" customHeight="1" x14ac:dyDescent="0.3">
      <c r="A83" s="44">
        <v>2016</v>
      </c>
      <c r="B83" s="54">
        <f>'Income Statement'!D19/'Income Statement'!D2</f>
        <v>0.15413428411185001</v>
      </c>
      <c r="C83" s="36"/>
      <c r="D83" s="36"/>
    </row>
    <row r="84" spans="1:4" ht="18" customHeight="1" x14ac:dyDescent="0.3">
      <c r="A84" s="44">
        <v>2017</v>
      </c>
      <c r="B84" s="54">
        <f>'Income Statement'!C19/'Income Statement'!C2</f>
        <v>-0.32103476843314893</v>
      </c>
      <c r="C84" s="36"/>
      <c r="D84" s="36"/>
    </row>
    <row r="85" spans="1:4" ht="18" customHeight="1" x14ac:dyDescent="0.3">
      <c r="A85" s="44">
        <v>2018</v>
      </c>
      <c r="B85" s="54">
        <f>'Income Statement'!B19/'Income Statement'!B2</f>
        <v>-9.3112925672271626E-2</v>
      </c>
      <c r="C85" s="36"/>
      <c r="D85" s="36"/>
    </row>
    <row r="87" spans="1:4" ht="18" customHeight="1" x14ac:dyDescent="0.3">
      <c r="A87" s="40" t="s">
        <v>108</v>
      </c>
      <c r="B87" s="40"/>
      <c r="C87" s="40"/>
    </row>
    <row r="88" spans="1:4" ht="18" customHeight="1" x14ac:dyDescent="0.3">
      <c r="A88" s="40"/>
      <c r="B88" s="40"/>
      <c r="C88" s="40"/>
    </row>
    <row r="89" spans="1:4" ht="18" customHeight="1" x14ac:dyDescent="0.3">
      <c r="A89" s="4" t="s">
        <v>109</v>
      </c>
      <c r="B89" s="4"/>
      <c r="C89" s="4"/>
      <c r="D89" s="4"/>
    </row>
    <row r="90" spans="1:4" ht="18" customHeight="1" x14ac:dyDescent="0.3">
      <c r="A90" s="4" t="s">
        <v>110</v>
      </c>
      <c r="B90" s="4"/>
      <c r="C90" s="4"/>
      <c r="D90" s="4"/>
    </row>
    <row r="91" spans="1:4" ht="18" customHeight="1" x14ac:dyDescent="0.3">
      <c r="A91" s="43" t="s">
        <v>1</v>
      </c>
      <c r="B91" s="43" t="s">
        <v>14</v>
      </c>
      <c r="C91" s="36"/>
      <c r="D91" s="36"/>
    </row>
    <row r="92" spans="1:4" ht="18" customHeight="1" x14ac:dyDescent="0.3">
      <c r="A92" s="44">
        <v>2013</v>
      </c>
      <c r="B92" s="52">
        <f>'Income Statement'!G19/'Financial Position'!G26</f>
        <v>4.827728617152436E-2</v>
      </c>
      <c r="C92" s="36"/>
      <c r="D92" s="36"/>
    </row>
    <row r="93" spans="1:4" ht="18" customHeight="1" x14ac:dyDescent="0.3">
      <c r="A93" s="44">
        <v>2014</v>
      </c>
      <c r="B93" s="52">
        <f>'Income Statement'!F19/'Financial Position'!F26</f>
        <v>5.0461484937786509E-2</v>
      </c>
      <c r="C93" s="36"/>
      <c r="D93" s="36"/>
    </row>
    <row r="94" spans="1:4" ht="18" customHeight="1" x14ac:dyDescent="0.3">
      <c r="A94" s="44">
        <v>2015</v>
      </c>
      <c r="B94" s="52">
        <f>'Income Statement'!E19/'Financial Position'!E26</f>
        <v>5.9261559160650984E-2</v>
      </c>
      <c r="C94" s="36"/>
      <c r="D94" s="36"/>
    </row>
    <row r="95" spans="1:4" ht="18" customHeight="1" x14ac:dyDescent="0.3">
      <c r="A95" s="44">
        <v>2016</v>
      </c>
      <c r="B95" s="52">
        <f>'Income Statement'!D19/'Financial Position'!D26</f>
        <v>0.10723468299922657</v>
      </c>
      <c r="C95" s="36"/>
      <c r="D95" s="36"/>
    </row>
    <row r="96" spans="1:4" ht="18" customHeight="1" x14ac:dyDescent="0.3">
      <c r="A96" s="44">
        <v>2017</v>
      </c>
      <c r="B96" s="52">
        <f>'Income Statement'!C19/'Financial Position'!C26</f>
        <v>-3.4312482147957728</v>
      </c>
      <c r="C96" s="36"/>
      <c r="D96" s="36"/>
    </row>
    <row r="97" spans="1:5" ht="18" customHeight="1" x14ac:dyDescent="0.3">
      <c r="A97" s="44">
        <v>2018</v>
      </c>
      <c r="B97" s="52">
        <f>'Income Statement'!B19/'Financial Position'!B26</f>
        <v>-1.1403176542455711</v>
      </c>
      <c r="C97" s="36"/>
      <c r="D97" s="36"/>
    </row>
    <row r="98" spans="1:5" ht="18" customHeight="1" x14ac:dyDescent="0.3">
      <c r="A98" s="44"/>
      <c r="B98" s="52"/>
      <c r="C98" s="36"/>
      <c r="D98" s="36"/>
    </row>
    <row r="99" spans="1:5" ht="18" customHeight="1" x14ac:dyDescent="0.3">
      <c r="A99" s="36"/>
      <c r="B99" s="36"/>
      <c r="C99" s="36"/>
      <c r="D99" s="36"/>
    </row>
    <row r="100" spans="1:5" ht="18" customHeight="1" x14ac:dyDescent="0.3">
      <c r="A100" s="4" t="s">
        <v>111</v>
      </c>
      <c r="B100" s="4"/>
      <c r="C100" s="4"/>
      <c r="D100" s="4"/>
    </row>
    <row r="101" spans="1:5" ht="18" customHeight="1" x14ac:dyDescent="0.3">
      <c r="A101" s="43" t="s">
        <v>1</v>
      </c>
      <c r="B101" s="43" t="s">
        <v>5</v>
      </c>
      <c r="C101" s="36"/>
      <c r="D101" s="36"/>
    </row>
    <row r="102" spans="1:5" ht="18" customHeight="1" x14ac:dyDescent="0.3">
      <c r="A102" s="44">
        <v>2013</v>
      </c>
      <c r="B102" s="52">
        <f>'Income Statement'!G19/'Financial Position'!G35</f>
        <v>0.11905403786244907</v>
      </c>
      <c r="C102" s="36"/>
      <c r="D102" s="36"/>
    </row>
    <row r="103" spans="1:5" ht="18" customHeight="1" x14ac:dyDescent="0.3">
      <c r="A103" s="44">
        <v>2014</v>
      </c>
      <c r="B103" s="52">
        <f>'Income Statement'!F19/'Financial Position'!F35</f>
        <v>0.11236556689755742</v>
      </c>
      <c r="C103" s="36"/>
      <c r="D103" s="36"/>
    </row>
    <row r="104" spans="1:5" ht="18" customHeight="1" x14ac:dyDescent="0.3">
      <c r="A104" s="44">
        <v>2015</v>
      </c>
      <c r="B104" s="52">
        <f>'Income Statement'!E19/'Financial Position'!E35</f>
        <v>0.41410233230880494</v>
      </c>
      <c r="C104" s="36"/>
      <c r="D104" s="36"/>
    </row>
    <row r="105" spans="1:5" ht="18" customHeight="1" x14ac:dyDescent="0.3">
      <c r="A105" s="44">
        <v>2016</v>
      </c>
      <c r="B105" s="52">
        <f>'Income Statement'!D19/'Financial Position'!D35</f>
        <v>0.25254348539547095</v>
      </c>
      <c r="C105" s="36"/>
      <c r="D105" s="36"/>
    </row>
    <row r="106" spans="1:5" ht="18" customHeight="1" x14ac:dyDescent="0.3">
      <c r="A106" s="44">
        <v>2017</v>
      </c>
      <c r="B106" s="54">
        <f>'Income Statement'!C19/'Financial Position'!C35</f>
        <v>-28.738755980861242</v>
      </c>
      <c r="C106" s="36"/>
      <c r="D106" s="36"/>
    </row>
    <row r="107" spans="1:5" ht="18" customHeight="1" x14ac:dyDescent="0.3">
      <c r="A107" s="44">
        <v>2018</v>
      </c>
      <c r="B107" s="54">
        <f>'Income Statement'!B19/'Financial Position'!B35</f>
        <v>-29.121684867394695</v>
      </c>
      <c r="C107" s="36"/>
      <c r="D107" s="36"/>
    </row>
    <row r="108" spans="1:5" ht="18" customHeight="1" x14ac:dyDescent="0.3">
      <c r="A108" s="50"/>
      <c r="B108" s="53"/>
    </row>
    <row r="109" spans="1:5" ht="18" customHeight="1" x14ac:dyDescent="0.3">
      <c r="A109" s="40" t="s">
        <v>112</v>
      </c>
      <c r="B109" s="40"/>
      <c r="C109" s="40"/>
      <c r="D109" s="40"/>
    </row>
    <row r="110" spans="1:5" ht="18" customHeight="1" x14ac:dyDescent="0.3">
      <c r="A110" s="40"/>
      <c r="B110" s="40"/>
      <c r="C110" s="40"/>
      <c r="D110" s="40"/>
      <c r="E110" s="40"/>
    </row>
    <row r="111" spans="1:5" ht="18" customHeight="1" x14ac:dyDescent="0.3">
      <c r="A111" s="40" t="s">
        <v>113</v>
      </c>
      <c r="B111" s="40"/>
      <c r="C111" s="40"/>
      <c r="D111" s="40"/>
      <c r="E111" s="40"/>
    </row>
    <row r="112" spans="1:5" ht="18" customHeight="1" x14ac:dyDescent="0.3">
      <c r="A112" s="4" t="s">
        <v>114</v>
      </c>
      <c r="B112" s="4"/>
      <c r="C112" s="4"/>
      <c r="D112" s="4"/>
      <c r="E112" s="40"/>
    </row>
    <row r="113" spans="1:4" ht="18" customHeight="1" x14ac:dyDescent="0.3">
      <c r="A113" s="43" t="s">
        <v>1</v>
      </c>
      <c r="B113" s="43" t="s">
        <v>115</v>
      </c>
      <c r="C113" s="36"/>
      <c r="D113" s="36"/>
    </row>
    <row r="114" spans="1:4" ht="18" customHeight="1" x14ac:dyDescent="0.3">
      <c r="A114" s="44">
        <v>2013</v>
      </c>
      <c r="B114" s="49">
        <f>'Income Statement'!G2/'Financial Position'!G26</f>
        <v>0.59481454938567779</v>
      </c>
      <c r="C114" s="36"/>
      <c r="D114" s="36"/>
    </row>
    <row r="115" spans="1:4" ht="18" customHeight="1" x14ac:dyDescent="0.3">
      <c r="A115" s="44">
        <v>2014</v>
      </c>
      <c r="B115" s="49">
        <f>'Income Statement'!F2/'Financial Position'!F26</f>
        <v>0.60046250818598557</v>
      </c>
      <c r="C115" s="36"/>
      <c r="D115" s="36"/>
    </row>
    <row r="116" spans="1:4" ht="18" customHeight="1" x14ac:dyDescent="0.3">
      <c r="A116" s="44">
        <v>2015</v>
      </c>
      <c r="B116" s="49">
        <f>'Income Statement'!E2/'Financial Position'!E26</f>
        <v>0.22481823591813502</v>
      </c>
      <c r="C116" s="36"/>
      <c r="D116" s="36"/>
    </row>
    <row r="117" spans="1:4" ht="18" customHeight="1" x14ac:dyDescent="0.3">
      <c r="A117" s="44">
        <v>2016</v>
      </c>
      <c r="B117" s="49">
        <f>'Income Statement'!D2/'Financial Position'!D26</f>
        <v>0.695722457966652</v>
      </c>
      <c r="C117" s="36"/>
      <c r="D117" s="36"/>
    </row>
    <row r="118" spans="1:4" ht="18" customHeight="1" x14ac:dyDescent="0.3">
      <c r="A118" s="44">
        <v>2017</v>
      </c>
      <c r="B118" s="49">
        <f>'Income Statement'!C2/'Financial Position'!C26</f>
        <v>10.68808911739503</v>
      </c>
      <c r="C118" s="36"/>
      <c r="D118" s="36"/>
    </row>
    <row r="119" spans="1:4" ht="18" customHeight="1" x14ac:dyDescent="0.3">
      <c r="A119" s="44">
        <v>2018</v>
      </c>
      <c r="B119" s="49">
        <f>'Income Statement'!B2/'Financial Position'!B26</f>
        <v>12.246609651802077</v>
      </c>
      <c r="C119" s="36"/>
      <c r="D119" s="36"/>
    </row>
    <row r="121" spans="1:4" ht="18" customHeight="1" x14ac:dyDescent="0.3">
      <c r="A121" s="40" t="s">
        <v>116</v>
      </c>
      <c r="B121" s="40"/>
      <c r="C121" s="40"/>
      <c r="D121" s="40"/>
    </row>
    <row r="122" spans="1:4" ht="18" customHeight="1" x14ac:dyDescent="0.3">
      <c r="A122" s="43" t="s">
        <v>1</v>
      </c>
      <c r="B122" s="43" t="s">
        <v>117</v>
      </c>
      <c r="C122" s="43" t="s">
        <v>118</v>
      </c>
      <c r="D122" s="43" t="s">
        <v>119</v>
      </c>
    </row>
    <row r="123" spans="1:4" ht="18" customHeight="1" x14ac:dyDescent="0.3">
      <c r="A123" s="44">
        <v>2012</v>
      </c>
      <c r="B123" s="55">
        <f>'Financial Position'!H5</f>
        <v>15572</v>
      </c>
      <c r="C123" s="55">
        <f>'Financial Position'!H26</f>
        <v>133213</v>
      </c>
      <c r="D123" s="52">
        <f>'Financial Position'!H5/'Financial Position'!H26</f>
        <v>0.11689549818711387</v>
      </c>
    </row>
    <row r="124" spans="1:4" ht="18" customHeight="1" x14ac:dyDescent="0.3">
      <c r="A124" s="44">
        <v>2013</v>
      </c>
      <c r="B124" s="55">
        <f>'Financial Position'!G5</f>
        <v>18850</v>
      </c>
      <c r="C124" s="55">
        <f>'Financial Position'!G26</f>
        <v>164653</v>
      </c>
      <c r="D124" s="52">
        <f>'Financial Position'!G5/'Financial Position'!G26</f>
        <v>0.11448318585145731</v>
      </c>
    </row>
    <row r="125" spans="1:4" ht="18" customHeight="1" x14ac:dyDescent="0.3">
      <c r="A125" s="44">
        <v>2014</v>
      </c>
      <c r="B125" s="55">
        <f>'Financial Position'!F5</f>
        <v>27810</v>
      </c>
      <c r="C125" s="55">
        <f>'Financial Position'!F26</f>
        <v>195456</v>
      </c>
      <c r="D125" s="52">
        <f>'Financial Position'!F5/'Financial Position'!F26</f>
        <v>0.14228266208251472</v>
      </c>
    </row>
    <row r="126" spans="1:4" ht="18" customHeight="1" x14ac:dyDescent="0.3">
      <c r="A126" s="44">
        <v>2015</v>
      </c>
      <c r="B126" s="55">
        <f>'Financial Position'!E5</f>
        <v>48548</v>
      </c>
      <c r="C126" s="55">
        <f>'Financial Position'!E26</f>
        <v>193245</v>
      </c>
      <c r="D126" s="52">
        <f>'Financial Position'!E5/'Financial Position'!E26</f>
        <v>0.25122512872260599</v>
      </c>
    </row>
    <row r="127" spans="1:4" ht="18" customHeight="1" x14ac:dyDescent="0.3">
      <c r="A127" s="44">
        <v>2016</v>
      </c>
      <c r="B127" s="55">
        <f>'Financial Position'!D5</f>
        <v>47963</v>
      </c>
      <c r="C127" s="55">
        <f>'Financial Position'!D26</f>
        <v>143517</v>
      </c>
      <c r="D127" s="52">
        <f>'Financial Position'!D5/'Financial Position'!D26</f>
        <v>0.33419734247510746</v>
      </c>
    </row>
    <row r="128" spans="1:4" ht="18" customHeight="1" x14ac:dyDescent="0.3">
      <c r="A128" s="44">
        <v>2017</v>
      </c>
      <c r="B128" s="55">
        <f>'Financial Position'!C5</f>
        <v>4593</v>
      </c>
      <c r="C128" s="55">
        <f>'Financial Position'!C26</f>
        <v>17505</v>
      </c>
      <c r="D128" s="52">
        <f>'Financial Position'!C5/'Financial Position'!C26</f>
        <v>0.26238217652099399</v>
      </c>
    </row>
    <row r="129" spans="1:7" ht="18" customHeight="1" x14ac:dyDescent="0.3">
      <c r="A129" s="44">
        <v>2018</v>
      </c>
      <c r="B129" s="55">
        <f>'Financial Position'!B5</f>
        <v>4485</v>
      </c>
      <c r="C129" s="55">
        <f>'Financial Position'!B26</f>
        <v>16370</v>
      </c>
      <c r="D129" s="52">
        <f>'Financial Position'!B5/'Financial Position'!B26</f>
        <v>0.27397678680513132</v>
      </c>
    </row>
    <row r="131" spans="1:7" ht="18" customHeight="1" x14ac:dyDescent="0.3">
      <c r="A131" s="40" t="s">
        <v>120</v>
      </c>
      <c r="B131" s="40"/>
      <c r="C131" s="40"/>
      <c r="D131" s="40"/>
    </row>
    <row r="132" spans="1:7" ht="18" customHeight="1" x14ac:dyDescent="0.3">
      <c r="E132" s="40"/>
      <c r="F132" s="40"/>
      <c r="G132" s="40"/>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3"/>
  <sheetViews>
    <sheetView showGridLines="0" zoomScaleNormal="100" workbookViewId="0">
      <selection activeCell="A12" sqref="A12"/>
    </sheetView>
  </sheetViews>
  <sheetFormatPr defaultColWidth="8.6640625" defaultRowHeight="14.4" x14ac:dyDescent="0.3"/>
  <cols>
    <col min="1" max="1" width="14" style="34" customWidth="1"/>
    <col min="2" max="2" width="40" style="34" customWidth="1"/>
    <col min="3" max="3" width="27.21875" style="34" customWidth="1"/>
    <col min="4" max="4" width="123.6640625" style="34" customWidth="1"/>
  </cols>
  <sheetData>
    <row r="1" spans="1:4" ht="18" customHeight="1" x14ac:dyDescent="0.3">
      <c r="A1" s="103" t="s">
        <v>163</v>
      </c>
      <c r="B1" s="103"/>
      <c r="C1" s="103"/>
      <c r="D1" s="103"/>
    </row>
    <row r="2" spans="1:4" ht="18" customHeight="1" x14ac:dyDescent="0.3">
      <c r="A2" s="60" t="s">
        <v>164</v>
      </c>
      <c r="B2" s="60" t="s">
        <v>165</v>
      </c>
      <c r="C2" s="60" t="s">
        <v>166</v>
      </c>
      <c r="D2" s="60" t="s">
        <v>167</v>
      </c>
    </row>
    <row r="3" spans="1:4" ht="18" customHeight="1" x14ac:dyDescent="0.3">
      <c r="A3" s="61" t="s">
        <v>168</v>
      </c>
      <c r="B3" s="61" t="s">
        <v>169</v>
      </c>
      <c r="C3" s="61" t="s">
        <v>170</v>
      </c>
      <c r="D3" s="61" t="s">
        <v>171</v>
      </c>
    </row>
    <row r="4" spans="1:4" ht="18" customHeight="1" x14ac:dyDescent="0.3">
      <c r="A4" s="61" t="s">
        <v>172</v>
      </c>
      <c r="B4" s="61" t="s">
        <v>173</v>
      </c>
      <c r="C4" s="61" t="s">
        <v>174</v>
      </c>
      <c r="D4" s="61" t="s">
        <v>175</v>
      </c>
    </row>
    <row r="5" spans="1:4" ht="18" customHeight="1" x14ac:dyDescent="0.3">
      <c r="A5" s="61" t="s">
        <v>176</v>
      </c>
      <c r="B5" s="61" t="s">
        <v>177</v>
      </c>
      <c r="C5" s="61" t="s">
        <v>178</v>
      </c>
      <c r="D5" s="61" t="s">
        <v>179</v>
      </c>
    </row>
    <row r="6" spans="1:4" ht="18" customHeight="1" x14ac:dyDescent="0.3">
      <c r="A6" s="61" t="s">
        <v>180</v>
      </c>
      <c r="B6" s="61" t="s">
        <v>181</v>
      </c>
      <c r="C6" s="61" t="s">
        <v>182</v>
      </c>
      <c r="D6" s="61" t="s">
        <v>183</v>
      </c>
    </row>
    <row r="7" spans="1:4" ht="18" customHeight="1" x14ac:dyDescent="0.3">
      <c r="A7" s="61" t="s">
        <v>184</v>
      </c>
      <c r="B7" s="61" t="s">
        <v>185</v>
      </c>
      <c r="C7" s="61" t="s">
        <v>186</v>
      </c>
      <c r="D7" s="61" t="s">
        <v>187</v>
      </c>
    </row>
    <row r="8" spans="1:4" ht="18" customHeight="1" x14ac:dyDescent="0.3">
      <c r="A8" s="61" t="s">
        <v>188</v>
      </c>
      <c r="B8" s="61" t="s">
        <v>189</v>
      </c>
      <c r="C8" s="61" t="s">
        <v>190</v>
      </c>
      <c r="D8" s="61" t="s">
        <v>191</v>
      </c>
    </row>
    <row r="9" spans="1:4" ht="18" customHeight="1" x14ac:dyDescent="0.3">
      <c r="A9" s="61" t="s">
        <v>192</v>
      </c>
      <c r="B9" s="61" t="s">
        <v>193</v>
      </c>
      <c r="C9" s="61" t="s">
        <v>194</v>
      </c>
      <c r="D9" s="61" t="s">
        <v>195</v>
      </c>
    </row>
    <row r="10" spans="1:4" ht="18" customHeight="1" x14ac:dyDescent="0.3">
      <c r="A10" s="61">
        <v>2018</v>
      </c>
      <c r="B10" s="61" t="s">
        <v>196</v>
      </c>
      <c r="C10" s="61" t="s">
        <v>197</v>
      </c>
      <c r="D10" s="61" t="s">
        <v>198</v>
      </c>
    </row>
    <row r="11" spans="1:4" ht="18" customHeight="1" x14ac:dyDescent="0.3">
      <c r="A11" s="61" t="s">
        <v>199</v>
      </c>
      <c r="B11" s="61" t="s">
        <v>200</v>
      </c>
      <c r="C11" s="61" t="s">
        <v>201</v>
      </c>
      <c r="D11" s="61" t="s">
        <v>202</v>
      </c>
    </row>
    <row r="12" spans="1:4" ht="18" customHeight="1" x14ac:dyDescent="0.3">
      <c r="A12" s="61">
        <v>2019</v>
      </c>
      <c r="B12" s="61" t="s">
        <v>203</v>
      </c>
      <c r="C12" s="61" t="s">
        <v>204</v>
      </c>
      <c r="D12" s="61" t="s">
        <v>205</v>
      </c>
    </row>
    <row r="13" spans="1:4" ht="18" customHeight="1" x14ac:dyDescent="0.3">
      <c r="A13" s="61" t="s">
        <v>206</v>
      </c>
      <c r="B13" s="61" t="s">
        <v>207</v>
      </c>
      <c r="C13" s="61" t="s">
        <v>208</v>
      </c>
      <c r="D13" s="61" t="s">
        <v>209</v>
      </c>
    </row>
  </sheetData>
  <mergeCells count="1">
    <mergeCell ref="A1:D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7"/>
  <sheetViews>
    <sheetView showGridLines="0" zoomScaleNormal="100" workbookViewId="0">
      <selection activeCell="L5" sqref="L5"/>
    </sheetView>
  </sheetViews>
  <sheetFormatPr defaultColWidth="8.6640625" defaultRowHeight="14.4" x14ac:dyDescent="0.3"/>
  <cols>
    <col min="1" max="1" width="42" customWidth="1"/>
    <col min="2" max="7" width="10" customWidth="1"/>
  </cols>
  <sheetData>
    <row r="1" spans="1:7" ht="17.25" customHeight="1" x14ac:dyDescent="0.3">
      <c r="A1" s="65" t="s">
        <v>210</v>
      </c>
      <c r="B1" s="66"/>
      <c r="C1" s="66"/>
      <c r="D1" s="66"/>
      <c r="E1" s="66"/>
      <c r="F1" s="66"/>
      <c r="G1" s="66"/>
    </row>
    <row r="2" spans="1:7" x14ac:dyDescent="0.3">
      <c r="A2" s="66"/>
      <c r="B2" s="66"/>
      <c r="C2" s="66"/>
      <c r="D2" s="66"/>
      <c r="E2" s="66"/>
      <c r="F2" s="66"/>
      <c r="G2" s="66"/>
    </row>
    <row r="3" spans="1:7" ht="15" customHeight="1" x14ac:dyDescent="0.3">
      <c r="A3" s="65" t="s">
        <v>211</v>
      </c>
      <c r="B3" s="66"/>
      <c r="C3" s="66"/>
      <c r="D3" s="66"/>
      <c r="E3" s="66"/>
      <c r="F3" s="66"/>
      <c r="G3" s="66"/>
    </row>
    <row r="4" spans="1:7" ht="15" customHeight="1" x14ac:dyDescent="0.3">
      <c r="A4" s="73" t="s">
        <v>1</v>
      </c>
      <c r="B4" s="73">
        <v>2013</v>
      </c>
      <c r="C4" s="73">
        <v>2014</v>
      </c>
      <c r="D4" s="73">
        <v>2015</v>
      </c>
      <c r="E4" s="73">
        <v>2016</v>
      </c>
      <c r="F4" s="73">
        <v>2017</v>
      </c>
      <c r="G4" s="73">
        <v>2018</v>
      </c>
    </row>
    <row r="5" spans="1:7" ht="15" customHeight="1" x14ac:dyDescent="0.3">
      <c r="A5" s="68" t="s">
        <v>212</v>
      </c>
      <c r="B5" s="69">
        <f>'Financial Position'!G25-'Financial Position'!G53</f>
        <v>9788</v>
      </c>
      <c r="C5" s="69">
        <f>'Financial Position'!F25-'Financial Position'!F53</f>
        <v>20473</v>
      </c>
      <c r="D5" s="69">
        <f>'Financial Position'!E25-'Financial Position'!E53</f>
        <v>-64004</v>
      </c>
      <c r="E5" s="69">
        <f>'Financial Position'!D25-'Financial Position'!D53</f>
        <v>-3181</v>
      </c>
      <c r="F5" s="69">
        <f>'Financial Position'!C25-'Financial Position'!C53</f>
        <v>-9587</v>
      </c>
      <c r="G5" s="69">
        <f>'Financial Position'!B25-'Financial Position'!B53</f>
        <v>-5946</v>
      </c>
    </row>
    <row r="6" spans="1:7" ht="15" customHeight="1" x14ac:dyDescent="0.3">
      <c r="A6" s="68" t="s">
        <v>213</v>
      </c>
      <c r="B6" s="69">
        <f>'Financial Position'!G26</f>
        <v>164653</v>
      </c>
      <c r="C6" s="69">
        <f>'Financial Position'!F26</f>
        <v>195456</v>
      </c>
      <c r="D6" s="69">
        <f>'Financial Position'!E26</f>
        <v>193245</v>
      </c>
      <c r="E6" s="69">
        <f>'Financial Position'!D26</f>
        <v>143517</v>
      </c>
      <c r="F6" s="69">
        <f>'Financial Position'!C26</f>
        <v>17505</v>
      </c>
      <c r="G6" s="69">
        <f>'Financial Position'!B26</f>
        <v>16370</v>
      </c>
    </row>
    <row r="7" spans="1:7" ht="15" customHeight="1" x14ac:dyDescent="0.3">
      <c r="A7" s="68" t="s">
        <v>214</v>
      </c>
      <c r="B7" s="70">
        <f t="shared" ref="B7:G7" si="0">B5/B6</f>
        <v>5.9446229342921174E-2</v>
      </c>
      <c r="C7" s="70">
        <f t="shared" si="0"/>
        <v>0.10474480189914866</v>
      </c>
      <c r="D7" s="70">
        <f t="shared" si="0"/>
        <v>-0.33120649952133302</v>
      </c>
      <c r="E7" s="70">
        <f t="shared" si="0"/>
        <v>-2.2164621612770611E-2</v>
      </c>
      <c r="F7" s="70">
        <f t="shared" si="0"/>
        <v>-0.5476720936875179</v>
      </c>
      <c r="G7" s="70">
        <f t="shared" si="0"/>
        <v>-0.36322541233964567</v>
      </c>
    </row>
    <row r="8" spans="1:7" ht="15" customHeight="1" x14ac:dyDescent="0.3">
      <c r="A8" s="68" t="s">
        <v>215</v>
      </c>
      <c r="B8" s="69">
        <f>'Financial Position'!G31</f>
        <v>0</v>
      </c>
      <c r="C8" s="69">
        <f>'Financial Position'!F31</f>
        <v>0</v>
      </c>
      <c r="D8" s="69">
        <f>'Financial Position'!E31</f>
        <v>-71495</v>
      </c>
      <c r="E8" s="69">
        <f>'Financial Position'!D31</f>
        <v>-23442</v>
      </c>
      <c r="F8" s="69">
        <f>'Financial Position'!C31</f>
        <v>-8540</v>
      </c>
      <c r="G8" s="69">
        <f>'Financial Position'!B31</f>
        <v>-9778</v>
      </c>
    </row>
    <row r="9" spans="1:7" ht="15" customHeight="1" x14ac:dyDescent="0.3">
      <c r="A9" s="68" t="s">
        <v>216</v>
      </c>
      <c r="B9" s="70">
        <f t="shared" ref="B9:G9" si="1">B8/B6</f>
        <v>0</v>
      </c>
      <c r="C9" s="70">
        <f t="shared" si="1"/>
        <v>0</v>
      </c>
      <c r="D9" s="70">
        <f t="shared" si="1"/>
        <v>-0.36997076250355765</v>
      </c>
      <c r="E9" s="70">
        <f t="shared" si="1"/>
        <v>-0.16333953468927026</v>
      </c>
      <c r="F9" s="70">
        <f t="shared" si="1"/>
        <v>-0.48786061125392743</v>
      </c>
      <c r="G9" s="70">
        <f t="shared" si="1"/>
        <v>-0.59731215638362856</v>
      </c>
    </row>
    <row r="10" spans="1:7" ht="15" customHeight="1" x14ac:dyDescent="0.3">
      <c r="A10" s="68" t="s">
        <v>217</v>
      </c>
      <c r="B10" s="69">
        <f>'Income Statement'!G10</f>
        <v>9459</v>
      </c>
      <c r="C10" s="69">
        <f>'Income Statement'!F10</f>
        <v>14122</v>
      </c>
      <c r="D10" s="69">
        <f>'Income Statement'!E10</f>
        <v>5381</v>
      </c>
      <c r="E10" s="69">
        <f>'Income Statement'!D10</f>
        <v>9298</v>
      </c>
      <c r="F10" s="69">
        <f>'Income Statement'!C10</f>
        <v>-2256</v>
      </c>
      <c r="G10" s="69">
        <f>'Income Statement'!B10</f>
        <v>1253</v>
      </c>
    </row>
    <row r="11" spans="1:7" ht="15" customHeight="1" x14ac:dyDescent="0.3">
      <c r="A11" s="68" t="s">
        <v>218</v>
      </c>
      <c r="B11" s="70">
        <f t="shared" ref="B11:G11" si="2">B10/B6</f>
        <v>5.7448087796760458E-2</v>
      </c>
      <c r="C11" s="70">
        <f t="shared" si="2"/>
        <v>7.2251555337262602E-2</v>
      </c>
      <c r="D11" s="70">
        <f t="shared" si="2"/>
        <v>2.7845481124996765E-2</v>
      </c>
      <c r="E11" s="70">
        <f t="shared" si="2"/>
        <v>6.4786750001741958E-2</v>
      </c>
      <c r="F11" s="70">
        <f t="shared" si="2"/>
        <v>-0.12887746358183377</v>
      </c>
      <c r="G11" s="70">
        <f t="shared" si="2"/>
        <v>7.6542455711667678E-2</v>
      </c>
    </row>
    <row r="12" spans="1:7" ht="15" customHeight="1" x14ac:dyDescent="0.3">
      <c r="A12" s="68" t="s">
        <v>219</v>
      </c>
      <c r="B12" s="69">
        <f>'Financial Position'!G35</f>
        <v>66768</v>
      </c>
      <c r="C12" s="69">
        <f>'Financial Position'!F35</f>
        <v>87776</v>
      </c>
      <c r="D12" s="69">
        <f>'Financial Position'!E35</f>
        <v>27655</v>
      </c>
      <c r="E12" s="69">
        <f>'Financial Position'!D35</f>
        <v>60940</v>
      </c>
      <c r="F12" s="69">
        <f>'Financial Position'!C35</f>
        <v>2090</v>
      </c>
      <c r="G12" s="69">
        <f>'Financial Position'!B35</f>
        <v>641</v>
      </c>
    </row>
    <row r="13" spans="1:7" ht="15" customHeight="1" x14ac:dyDescent="0.3">
      <c r="A13" s="68" t="s">
        <v>220</v>
      </c>
      <c r="B13" s="69">
        <f>'Financial Position'!G54-'Financial Position'!G35</f>
        <v>98249</v>
      </c>
      <c r="C13" s="69">
        <f>'Financial Position'!F54-'Financial Position'!F35</f>
        <v>114545</v>
      </c>
      <c r="D13" s="69">
        <f>'Financial Position'!E54-'Financial Position'!E35</f>
        <v>143869</v>
      </c>
      <c r="E13" s="69">
        <f>'Financial Position'!D54-'Financial Position'!D35</f>
        <v>76720</v>
      </c>
      <c r="F13" s="69">
        <f>'Financial Position'!C54-'Financial Position'!C35</f>
        <v>15415</v>
      </c>
      <c r="G13" s="69">
        <f>'Financial Position'!B54-'Financial Position'!B35</f>
        <v>15729</v>
      </c>
    </row>
    <row r="14" spans="1:7" ht="15" customHeight="1" x14ac:dyDescent="0.3">
      <c r="A14" s="68" t="s">
        <v>221</v>
      </c>
      <c r="B14" s="70">
        <f t="shared" ref="B14:G14" si="3">B12/B13</f>
        <v>0.67957943592301195</v>
      </c>
      <c r="C14" s="70">
        <f t="shared" si="3"/>
        <v>0.7663014535771967</v>
      </c>
      <c r="D14" s="70">
        <f t="shared" si="3"/>
        <v>0.19222348108348566</v>
      </c>
      <c r="E14" s="70">
        <f t="shared" si="3"/>
        <v>0.7943169968717414</v>
      </c>
      <c r="F14" s="70">
        <f t="shared" si="3"/>
        <v>0.13558222510541681</v>
      </c>
      <c r="G14" s="70">
        <f t="shared" si="3"/>
        <v>4.0752749698010043E-2</v>
      </c>
    </row>
    <row r="15" spans="1:7" x14ac:dyDescent="0.3">
      <c r="A15" s="66"/>
      <c r="B15" s="66"/>
      <c r="C15" s="66"/>
      <c r="D15" s="66"/>
      <c r="E15" s="66"/>
      <c r="F15" s="66"/>
      <c r="G15" s="66"/>
    </row>
    <row r="16" spans="1:7" ht="15" customHeight="1" x14ac:dyDescent="0.3">
      <c r="A16" s="65" t="s">
        <v>222</v>
      </c>
      <c r="B16" s="71">
        <f t="shared" ref="B16:G16" si="4">6.56*B7+3.26*B9+6.72*B11+1.05*B14</f>
        <v>1.4895768222029557</v>
      </c>
      <c r="C16" s="71">
        <f t="shared" si="4"/>
        <v>1.9772728785808766</v>
      </c>
      <c r="D16" s="71">
        <f t="shared" si="4"/>
        <v>-2.9898630343239039</v>
      </c>
      <c r="E16" s="71">
        <f t="shared" si="4"/>
        <v>0.59151300586023825</v>
      </c>
      <c r="F16" s="71">
        <f t="shared" si="4"/>
        <v>-5.9068497461871559</v>
      </c>
      <c r="G16" s="71">
        <f t="shared" si="4"/>
        <v>-3.7728406451933862</v>
      </c>
    </row>
    <row r="17" spans="1:7" ht="15" customHeight="1" x14ac:dyDescent="0.3">
      <c r="A17" s="68" t="s">
        <v>223</v>
      </c>
      <c r="B17" s="66" t="str">
        <f t="shared" ref="B17:G17" si="5">IF(B16&gt;2.6,"Safe",IF(B16&gt;1.1,"Grey","Distress"))</f>
        <v>Grey</v>
      </c>
      <c r="C17" s="66" t="str">
        <f t="shared" si="5"/>
        <v>Grey</v>
      </c>
      <c r="D17" s="66" t="str">
        <f t="shared" si="5"/>
        <v>Distress</v>
      </c>
      <c r="E17" s="66" t="str">
        <f t="shared" si="5"/>
        <v>Distress</v>
      </c>
      <c r="F17" s="66" t="str">
        <f t="shared" si="5"/>
        <v>Distress</v>
      </c>
      <c r="G17" s="66" t="str">
        <f t="shared" si="5"/>
        <v>Distress</v>
      </c>
    </row>
    <row r="18" spans="1:7" x14ac:dyDescent="0.3">
      <c r="A18" s="66"/>
      <c r="B18" s="66"/>
      <c r="C18" s="66"/>
      <c r="D18" s="66"/>
      <c r="E18" s="66"/>
      <c r="F18" s="66"/>
      <c r="G18" s="66"/>
    </row>
    <row r="19" spans="1:7" ht="45" customHeight="1" x14ac:dyDescent="0.3">
      <c r="A19" s="104" t="s">
        <v>224</v>
      </c>
      <c r="B19" s="104"/>
      <c r="C19" s="104"/>
      <c r="D19" s="104"/>
      <c r="E19" s="104"/>
      <c r="F19" s="104"/>
      <c r="G19" s="104"/>
    </row>
    <row r="20" spans="1:7" x14ac:dyDescent="0.3">
      <c r="A20" s="66"/>
      <c r="B20" s="66"/>
      <c r="C20" s="66"/>
      <c r="D20" s="66"/>
      <c r="E20" s="66"/>
      <c r="F20" s="66"/>
      <c r="G20" s="66"/>
    </row>
    <row r="21" spans="1:7" x14ac:dyDescent="0.3">
      <c r="A21" s="66"/>
      <c r="B21" s="66"/>
      <c r="C21" s="66"/>
      <c r="D21" s="66"/>
      <c r="E21" s="66"/>
      <c r="F21" s="66"/>
      <c r="G21" s="66"/>
    </row>
    <row r="22" spans="1:7" ht="15" customHeight="1" x14ac:dyDescent="0.3">
      <c r="A22" s="65" t="s">
        <v>225</v>
      </c>
      <c r="B22" s="66"/>
      <c r="C22" s="66"/>
      <c r="D22" s="66"/>
      <c r="E22" s="66"/>
      <c r="F22" s="66"/>
      <c r="G22" s="66"/>
    </row>
    <row r="23" spans="1:7" ht="15" customHeight="1" x14ac:dyDescent="0.3">
      <c r="A23" s="67" t="s">
        <v>1</v>
      </c>
      <c r="B23" s="67">
        <v>2013</v>
      </c>
      <c r="C23" s="67">
        <v>2014</v>
      </c>
      <c r="D23" s="67">
        <v>2015</v>
      </c>
      <c r="E23" s="67">
        <v>2016</v>
      </c>
      <c r="F23" s="67">
        <v>2017</v>
      </c>
      <c r="G23" s="67">
        <v>2018</v>
      </c>
    </row>
    <row r="24" spans="1:7" ht="15" customHeight="1" x14ac:dyDescent="0.3">
      <c r="A24" s="66" t="s">
        <v>226</v>
      </c>
      <c r="B24" s="69">
        <f>'Financial Position'!G18</f>
        <v>20039</v>
      </c>
      <c r="C24" s="69">
        <f>'Financial Position'!F18</f>
        <v>18112</v>
      </c>
      <c r="D24" s="69">
        <f>'Financial Position'!E18</f>
        <v>10160</v>
      </c>
      <c r="E24" s="69">
        <f>'Financial Position'!D18</f>
        <v>6039</v>
      </c>
      <c r="F24" s="69">
        <f>'Financial Position'!C18</f>
        <v>1055</v>
      </c>
      <c r="G24" s="69">
        <f>'Financial Position'!B18</f>
        <v>1216</v>
      </c>
    </row>
    <row r="25" spans="1:7" ht="15" customHeight="1" x14ac:dyDescent="0.3">
      <c r="A25" s="66" t="s">
        <v>227</v>
      </c>
      <c r="B25" s="69">
        <f>'Income Statement'!G2</f>
        <v>97938</v>
      </c>
      <c r="C25" s="69">
        <f>'Income Statement'!F2</f>
        <v>117364</v>
      </c>
      <c r="D25" s="69">
        <f>'Income Statement'!E2</f>
        <v>43445</v>
      </c>
      <c r="E25" s="69">
        <f>'Income Statement'!D2</f>
        <v>99848</v>
      </c>
      <c r="F25" s="69">
        <f>'Income Statement'!C2</f>
        <v>187095</v>
      </c>
      <c r="G25" s="69">
        <f>'Income Statement'!B2</f>
        <v>200477</v>
      </c>
    </row>
    <row r="26" spans="1:7" ht="15" customHeight="1" x14ac:dyDescent="0.3">
      <c r="A26" s="66" t="s">
        <v>228</v>
      </c>
      <c r="B26" s="72">
        <f>'Income Statement'!G4/'Income Statement'!G2</f>
        <v>0.35120178071841368</v>
      </c>
      <c r="C26" s="72">
        <f>'Income Statement'!F4/'Income Statement'!F2</f>
        <v>0.35716233257216862</v>
      </c>
      <c r="D26" s="72">
        <f>'Income Statement'!E4/'Income Statement'!E2</f>
        <v>0.31396017953734606</v>
      </c>
      <c r="E26" s="72">
        <f>'Income Statement'!D4/'Income Statement'!D2</f>
        <v>0.31022153673583847</v>
      </c>
      <c r="F26" s="72">
        <f>'Income Statement'!C4/'Income Statement'!C2</f>
        <v>0.38825730243993695</v>
      </c>
      <c r="G26" s="72">
        <f>'Income Statement'!B4/'Income Statement'!B2</f>
        <v>0.38674760695740656</v>
      </c>
    </row>
    <row r="27" spans="1:7" ht="15" customHeight="1" x14ac:dyDescent="0.3">
      <c r="A27" s="66" t="s">
        <v>229</v>
      </c>
      <c r="B27" s="70">
        <f>('Financial Position'!G54-'Financial Position'!G35)/'Financial Position'!G26</f>
        <v>0.59670337011776287</v>
      </c>
      <c r="C27" s="70">
        <f>('Financial Position'!F54-'Financial Position'!F35)/'Financial Position'!F26</f>
        <v>0.58603982481990835</v>
      </c>
      <c r="D27" s="70">
        <f>('Financial Position'!E54-'Financial Position'!E35)/'Financial Position'!E26</f>
        <v>0.74449015498460502</v>
      </c>
      <c r="E27" s="70">
        <f>('Financial Position'!D54-'Financial Position'!D35)/'Financial Position'!D26</f>
        <v>0.534570817394455</v>
      </c>
      <c r="F27" s="70">
        <f>('Financial Position'!C54-'Financial Position'!C35)/'Financial Position'!C26</f>
        <v>0.88060554127392177</v>
      </c>
      <c r="G27" s="70">
        <f>('Financial Position'!B54-'Financial Position'!B35)/'Financial Position'!B26</f>
        <v>0.96084300549786195</v>
      </c>
    </row>
    <row r="28" spans="1:7" ht="15" customHeight="1" x14ac:dyDescent="0.3">
      <c r="A28" s="66" t="s">
        <v>230</v>
      </c>
      <c r="B28" s="70">
        <f>1-(('Financial Position'!G25+'Financial Position'!G7)/'Financial Position'!G26)</f>
        <v>0.42497859134057681</v>
      </c>
      <c r="C28" s="70">
        <f>1-(('Financial Position'!F25+'Financial Position'!F7)/'Financial Position'!F26)</f>
        <v>0.38760641781270466</v>
      </c>
      <c r="D28" s="70">
        <f>1-(('Financial Position'!E25+'Financial Position'!E7)/'Financial Position'!E26)</f>
        <v>0.50516184118605922</v>
      </c>
      <c r="E28" s="70">
        <f>1-(('Financial Position'!D25+'Financial Position'!D7)/'Financial Position'!D26)</f>
        <v>0.68971620086818985</v>
      </c>
      <c r="F28" s="70">
        <f>1-(('Financial Position'!C25+'Financial Position'!C7)/'Financial Position'!C26)</f>
        <v>0.55766923736075413</v>
      </c>
      <c r="G28" s="70">
        <f>1-(('Financial Position'!B25+'Financial Position'!B7)/'Financial Position'!B26)</f>
        <v>0.45143555284056203</v>
      </c>
    </row>
    <row r="29" spans="1:7" x14ac:dyDescent="0.3">
      <c r="A29" s="66"/>
      <c r="B29" s="66"/>
      <c r="C29" s="66"/>
      <c r="D29" s="66"/>
      <c r="E29" s="66"/>
      <c r="F29" s="66"/>
      <c r="G29" s="66"/>
    </row>
    <row r="30" spans="1:7" ht="15" customHeight="1" x14ac:dyDescent="0.3">
      <c r="A30" s="68" t="s">
        <v>231</v>
      </c>
      <c r="B30" s="66"/>
      <c r="C30" s="70">
        <f>(C24/C25)/(B24/B25)</f>
        <v>0.7542350186129243</v>
      </c>
      <c r="D30" s="70">
        <f>(D24/D25)/(C24/C25)</f>
        <v>1.5153829605443216</v>
      </c>
      <c r="E30" s="70">
        <f>(E24/E25)/(D24/D25)</f>
        <v>0.25862574400490324</v>
      </c>
      <c r="F30" s="70">
        <f>(F24/F25)/(E24/E25)</f>
        <v>9.3231918007531694E-2</v>
      </c>
      <c r="G30" s="70">
        <f>(G24/G25)/(F24/F25)</f>
        <v>1.0756692208513974</v>
      </c>
    </row>
    <row r="31" spans="1:7" ht="15" customHeight="1" x14ac:dyDescent="0.3">
      <c r="A31" s="68" t="s">
        <v>232</v>
      </c>
      <c r="B31" s="66"/>
      <c r="C31" s="70">
        <f>B26/C26</f>
        <v>0.98331136486082127</v>
      </c>
      <c r="D31" s="70">
        <f>C26/D26</f>
        <v>1.1376039251171457</v>
      </c>
      <c r="E31" s="70">
        <f>D26/E26</f>
        <v>1.0120515256317977</v>
      </c>
      <c r="F31" s="70">
        <f>E26/F26</f>
        <v>0.79901017903927118</v>
      </c>
      <c r="G31" s="70">
        <f>F26/G26</f>
        <v>1.0039035677412651</v>
      </c>
    </row>
    <row r="32" spans="1:7" ht="15" customHeight="1" x14ac:dyDescent="0.3">
      <c r="A32" s="68" t="s">
        <v>233</v>
      </c>
      <c r="B32" s="66"/>
      <c r="C32" s="70">
        <f>C25/B25</f>
        <v>1.1983499765157548</v>
      </c>
      <c r="D32" s="70">
        <f>D25/C25</f>
        <v>0.37017313656657919</v>
      </c>
      <c r="E32" s="70">
        <f>E25/D25</f>
        <v>2.2982621705604789</v>
      </c>
      <c r="F32" s="70">
        <f>F25/E25</f>
        <v>1.8737981732232993</v>
      </c>
      <c r="G32" s="70">
        <f>G25/F25</f>
        <v>1.0715251610144578</v>
      </c>
    </row>
    <row r="33" spans="1:7" ht="15" customHeight="1" x14ac:dyDescent="0.3">
      <c r="A33" s="68" t="s">
        <v>234</v>
      </c>
      <c r="B33" s="66"/>
      <c r="C33" s="70">
        <f t="shared" ref="C33:G34" si="6">C27/B27</f>
        <v>0.98212923567743549</v>
      </c>
      <c r="D33" s="70">
        <f t="shared" si="6"/>
        <v>1.2703746801053817</v>
      </c>
      <c r="E33" s="70">
        <f t="shared" si="6"/>
        <v>0.71803611346010232</v>
      </c>
      <c r="F33" s="70">
        <f t="shared" si="6"/>
        <v>1.6473131578077351</v>
      </c>
      <c r="G33" s="70">
        <f t="shared" si="6"/>
        <v>1.0911162381602382</v>
      </c>
    </row>
    <row r="34" spans="1:7" ht="15" customHeight="1" x14ac:dyDescent="0.3">
      <c r="A34" s="68" t="s">
        <v>235</v>
      </c>
      <c r="B34" s="66"/>
      <c r="C34" s="70">
        <f t="shared" si="6"/>
        <v>0.9120610442752346</v>
      </c>
      <c r="D34" s="70">
        <f t="shared" si="6"/>
        <v>1.3032855442299682</v>
      </c>
      <c r="E34" s="70">
        <f t="shared" si="6"/>
        <v>1.3653370952343098</v>
      </c>
      <c r="F34" s="70">
        <f t="shared" si="6"/>
        <v>0.80854884466796662</v>
      </c>
      <c r="G34" s="70">
        <f t="shared" si="6"/>
        <v>0.80950413362774409</v>
      </c>
    </row>
    <row r="35" spans="1:7" x14ac:dyDescent="0.3">
      <c r="A35" s="66"/>
      <c r="B35" s="66"/>
      <c r="C35" s="66"/>
      <c r="D35" s="66"/>
      <c r="E35" s="66"/>
      <c r="F35" s="66"/>
      <c r="G35" s="66"/>
    </row>
    <row r="36" spans="1:7" ht="90" customHeight="1" x14ac:dyDescent="0.3">
      <c r="A36" s="105" t="s">
        <v>236</v>
      </c>
      <c r="B36" s="105"/>
      <c r="C36" s="105"/>
      <c r="D36" s="105"/>
      <c r="E36" s="105"/>
      <c r="F36" s="105"/>
      <c r="G36" s="105"/>
    </row>
    <row r="37" spans="1:7" x14ac:dyDescent="0.3">
      <c r="A37" s="66"/>
      <c r="B37" s="66"/>
      <c r="C37" s="66"/>
      <c r="D37" s="66"/>
      <c r="E37" s="66"/>
      <c r="F37" s="66"/>
      <c r="G37" s="66"/>
    </row>
  </sheetData>
  <mergeCells count="2">
    <mergeCell ref="A19:G19"/>
    <mergeCell ref="A36:G36"/>
  </mergeCells>
  <conditionalFormatting sqref="B17:G17">
    <cfRule type="cellIs" dxfId="19" priority="2" operator="equal">
      <formula>"Distress"</formula>
    </cfRule>
    <cfRule type="cellIs" dxfId="18" priority="3" operator="equal">
      <formula>"Grey"</formula>
    </cfRule>
    <cfRule type="cellIs" dxfId="17" priority="4" operator="equal">
      <formula>"Safe"</formula>
    </cfRule>
  </conditionalFormatting>
  <conditionalFormatting sqref="C30:G30">
    <cfRule type="colorScale" priority="5">
      <colorScale>
        <cfvo type="num" val="0.8"/>
        <cfvo type="num" val="1"/>
        <cfvo type="num" val="1.3"/>
        <color rgb="FF63BE7B"/>
        <color rgb="FFFFEB84"/>
        <color rgb="FFF8696B"/>
      </colorScale>
    </cfRule>
  </conditionalFormatting>
  <conditionalFormatting sqref="C31:G31">
    <cfRule type="colorScale" priority="6">
      <colorScale>
        <cfvo type="num" val="0.8"/>
        <cfvo type="num" val="1"/>
        <cfvo type="num" val="1.3"/>
        <color rgb="FF63BE7B"/>
        <color rgb="FFFFEB84"/>
        <color rgb="FFF8696B"/>
      </colorScale>
    </cfRule>
  </conditionalFormatting>
  <conditionalFormatting sqref="C32:G32">
    <cfRule type="colorScale" priority="7">
      <colorScale>
        <cfvo type="num" val="0.8"/>
        <cfvo type="num" val="1"/>
        <cfvo type="num" val="1.3"/>
        <color rgb="FF63BE7B"/>
        <color rgb="FFFFEB84"/>
        <color rgb="FFF8696B"/>
      </colorScale>
    </cfRule>
  </conditionalFormatting>
  <conditionalFormatting sqref="C33:G33">
    <cfRule type="colorScale" priority="8">
      <colorScale>
        <cfvo type="num" val="0.8"/>
        <cfvo type="num" val="1"/>
        <cfvo type="num" val="1.3"/>
        <color rgb="FF63BE7B"/>
        <color rgb="FFFFEB84"/>
        <color rgb="FFF8696B"/>
      </colorScale>
    </cfRule>
  </conditionalFormatting>
  <conditionalFormatting sqref="C34:G34">
    <cfRule type="colorScale" priority="9">
      <colorScale>
        <cfvo type="num" val="0.8"/>
        <cfvo type="num" val="1"/>
        <cfvo type="num" val="1.3"/>
        <color rgb="FF63BE7B"/>
        <color rgb="FFFFEB84"/>
        <color rgb="FFF8696B"/>
      </colorScale>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
  <sheetViews>
    <sheetView zoomScaleNormal="100" workbookViewId="0">
      <selection activeCell="K19" sqref="K19"/>
    </sheetView>
  </sheetViews>
  <sheetFormatPr defaultColWidth="8.6640625" defaultRowHeight="14.4" x14ac:dyDescent="0.3"/>
  <cols>
    <col min="1" max="1" width="44.6640625" customWidth="1"/>
    <col min="2" max="2" width="14.77734375" customWidth="1"/>
    <col min="3" max="3" width="7.44140625" customWidth="1"/>
    <col min="4" max="4" width="10.88671875" customWidth="1"/>
    <col min="5" max="5" width="9" customWidth="1"/>
    <col min="6" max="6" width="13.5546875" customWidth="1"/>
    <col min="7" max="7" width="11" customWidth="1"/>
  </cols>
  <sheetData>
    <row r="1" spans="1:7" ht="17.25" customHeight="1" x14ac:dyDescent="0.3">
      <c r="A1" s="106" t="s">
        <v>237</v>
      </c>
      <c r="B1" s="106"/>
      <c r="C1" s="106"/>
      <c r="D1" s="106"/>
      <c r="E1" s="106"/>
      <c r="F1" s="106"/>
      <c r="G1" s="106"/>
    </row>
    <row r="2" spans="1:7" ht="15" customHeight="1" x14ac:dyDescent="0.3">
      <c r="A2" s="107" t="s">
        <v>238</v>
      </c>
      <c r="B2" s="107"/>
      <c r="C2" s="107"/>
      <c r="D2" s="107"/>
      <c r="E2" s="107"/>
      <c r="F2" s="107"/>
      <c r="G2" s="107"/>
    </row>
    <row r="3" spans="1:7" ht="15" customHeight="1" x14ac:dyDescent="0.3">
      <c r="A3" s="78" t="s">
        <v>10</v>
      </c>
      <c r="B3" s="78">
        <v>2013</v>
      </c>
      <c r="C3" s="78">
        <v>2014</v>
      </c>
      <c r="D3" s="78">
        <v>2015</v>
      </c>
      <c r="E3" s="78">
        <v>2016</v>
      </c>
      <c r="F3" s="78">
        <v>2017</v>
      </c>
      <c r="G3" s="78">
        <v>2018</v>
      </c>
    </row>
    <row r="4" spans="1:7" ht="15" customHeight="1" x14ac:dyDescent="0.3">
      <c r="A4" s="75" t="s">
        <v>239</v>
      </c>
      <c r="B4" s="74" t="s">
        <v>240</v>
      </c>
      <c r="C4" s="76">
        <f>'Income Statement'!F2/'Income Statement'!G2-1</f>
        <v>0.19834997651575481</v>
      </c>
      <c r="D4" s="76">
        <f>'Income Statement'!E2/'Income Statement'!F2-1</f>
        <v>-0.62982686343342076</v>
      </c>
      <c r="E4" s="76">
        <f>'Income Statement'!D2/'Income Statement'!E2-1</f>
        <v>1.2982621705604789</v>
      </c>
      <c r="F4" s="100">
        <v>0.874</v>
      </c>
      <c r="G4" s="76">
        <f>'Income Statement'!B2/'Income Statement'!C2-1</f>
        <v>7.1525161014457828E-2</v>
      </c>
    </row>
    <row r="5" spans="1:7" ht="15" customHeight="1" x14ac:dyDescent="0.3">
      <c r="A5" s="75" t="s">
        <v>241</v>
      </c>
      <c r="B5" s="76">
        <f>Ratios!D59</f>
        <v>0.35120178071841368</v>
      </c>
      <c r="C5" s="76">
        <f>Ratios!D60</f>
        <v>0.35716233257216862</v>
      </c>
      <c r="D5" s="76">
        <f>Ratios!D61</f>
        <v>0.31396017953734606</v>
      </c>
      <c r="E5" s="76">
        <f>Ratios!D62</f>
        <v>0.31022153673583847</v>
      </c>
      <c r="F5" s="76">
        <f>Ratios!D63</f>
        <v>0.38825730243993695</v>
      </c>
      <c r="G5" s="76">
        <f>Ratios!D64</f>
        <v>0.38674760695740656</v>
      </c>
    </row>
    <row r="6" spans="1:7" ht="15" customHeight="1" x14ac:dyDescent="0.3">
      <c r="A6" s="75" t="s">
        <v>110</v>
      </c>
      <c r="B6" s="77">
        <f>Ratios!B92</f>
        <v>4.827728617152436E-2</v>
      </c>
      <c r="C6" s="77">
        <f>Ratios!B93</f>
        <v>5.0461484937786509E-2</v>
      </c>
      <c r="D6" s="77">
        <f>Ratios!B94</f>
        <v>5.9261559160650984E-2</v>
      </c>
      <c r="E6" s="77">
        <f>Ratios!B95</f>
        <v>0.10723468299922657</v>
      </c>
      <c r="F6" s="77">
        <f>Ratios!B96</f>
        <v>-3.4312482147957728</v>
      </c>
      <c r="G6" s="77">
        <f>Ratios!B97</f>
        <v>-1.1403176542455711</v>
      </c>
    </row>
    <row r="7" spans="1:7" ht="15" customHeight="1" x14ac:dyDescent="0.3">
      <c r="A7" s="75" t="s">
        <v>111</v>
      </c>
      <c r="B7" s="77">
        <f>Ratios!B102</f>
        <v>0.11905403786244907</v>
      </c>
      <c r="C7" s="77">
        <f>Ratios!B103</f>
        <v>0.11236556689755742</v>
      </c>
      <c r="D7" s="77">
        <f>Ratios!B104</f>
        <v>0.41410233230880494</v>
      </c>
      <c r="E7" s="77">
        <f>Ratios!B105</f>
        <v>0.25254348539547095</v>
      </c>
      <c r="F7" s="77">
        <f>Ratios!B106</f>
        <v>-28.738755980861242</v>
      </c>
      <c r="G7" s="77">
        <f>Ratios!B107</f>
        <v>-29.121684867394695</v>
      </c>
    </row>
    <row r="8" spans="1:7" ht="15" customHeight="1" x14ac:dyDescent="0.3">
      <c r="A8" s="75" t="s">
        <v>3</v>
      </c>
      <c r="B8" s="77">
        <f>Ratios!D5</f>
        <v>1.2447367105065761</v>
      </c>
      <c r="C8" s="77">
        <f>Ratios!D6</f>
        <v>1.4526620677456443</v>
      </c>
      <c r="D8" s="77">
        <f>Ratios!D7</f>
        <v>0.44687286648864</v>
      </c>
      <c r="E8" s="77">
        <f>Ratios!D8</f>
        <v>0.91787788821479277</v>
      </c>
      <c r="F8" s="77">
        <f>Ratios!D9</f>
        <v>0.31658112346735101</v>
      </c>
      <c r="G8" s="77">
        <f>Ratios!D10</f>
        <v>0.53474178403755868</v>
      </c>
    </row>
    <row r="9" spans="1:7" ht="15" customHeight="1" x14ac:dyDescent="0.3">
      <c r="A9" s="75" t="s">
        <v>6</v>
      </c>
      <c r="B9" s="77">
        <f>Ratios!B46</f>
        <v>0.30462852180039235</v>
      </c>
      <c r="C9" s="77">
        <f>Ratios!B47</f>
        <v>0.31716089554682386</v>
      </c>
      <c r="D9" s="77">
        <f>Ratios!B48</f>
        <v>0.41033403192838108</v>
      </c>
      <c r="E9" s="77">
        <f>Ratios!B49</f>
        <v>0.34905969327675468</v>
      </c>
      <c r="F9" s="77">
        <f>Ratios!B50</f>
        <v>0.49180234218794633</v>
      </c>
      <c r="G9" s="77">
        <f>Ratios!B51</f>
        <v>0.63194868662186932</v>
      </c>
    </row>
    <row r="10" spans="1:7" x14ac:dyDescent="0.3">
      <c r="A10" s="74"/>
      <c r="B10" s="74"/>
      <c r="C10" s="74"/>
      <c r="D10" s="74"/>
      <c r="E10" s="74"/>
      <c r="F10" s="74"/>
      <c r="G10" s="74"/>
    </row>
  </sheetData>
  <mergeCells count="2">
    <mergeCell ref="A1:G1"/>
    <mergeCell ref="A2:G2"/>
  </mergeCells>
  <conditionalFormatting sqref="B4:G4 B6:G6">
    <cfRule type="cellIs" dxfId="16" priority="2" operator="lessThan">
      <formula>0</formula>
    </cfRule>
    <cfRule type="cellIs" dxfId="15" priority="3" operator="between">
      <formula>0</formula>
      <formula>0.03</formula>
    </cfRule>
    <cfRule type="cellIs" dxfId="14" priority="4" operator="greaterThan">
      <formula>0.03</formula>
    </cfRule>
  </conditionalFormatting>
  <conditionalFormatting sqref="B5:G5">
    <cfRule type="cellIs" dxfId="13" priority="5" operator="lessThan">
      <formula>0.25</formula>
    </cfRule>
    <cfRule type="cellIs" dxfId="12" priority="6" operator="between">
      <formula>0.25</formula>
      <formula>0.32</formula>
    </cfRule>
    <cfRule type="cellIs" dxfId="11" priority="7" operator="greaterThan">
      <formula>0.32</formula>
    </cfRule>
  </conditionalFormatting>
  <conditionalFormatting sqref="B7:G7">
    <cfRule type="cellIs" dxfId="10" priority="8" operator="lessThan">
      <formula>0</formula>
    </cfRule>
    <cfRule type="cellIs" dxfId="9" priority="9" operator="between">
      <formula>0</formula>
      <formula>0.08</formula>
    </cfRule>
    <cfRule type="cellIs" dxfId="8" priority="10" operator="greaterThan">
      <formula>0.08</formula>
    </cfRule>
  </conditionalFormatting>
  <conditionalFormatting sqref="B8:G8">
    <cfRule type="cellIs" dxfId="7" priority="11" operator="lessThan">
      <formula>1</formula>
    </cfRule>
    <cfRule type="cellIs" dxfId="6" priority="12" operator="between">
      <formula>1</formula>
      <formula>1.5</formula>
    </cfRule>
    <cfRule type="cellIs" dxfId="5" priority="13" operator="greaterThan">
      <formula>1.5</formula>
    </cfRule>
  </conditionalFormatting>
  <conditionalFormatting sqref="B9:G9">
    <cfRule type="cellIs" dxfId="4" priority="14" operator="greaterThan">
      <formula>0.5</formula>
    </cfRule>
    <cfRule type="cellIs" dxfId="3" priority="15" operator="between">
      <formula>0.35</formula>
      <formula>0.5</formula>
    </cfRule>
    <cfRule type="cellIs" dxfId="2" priority="16" operator="lessThan">
      <formula>0.35</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3"/>
  <sheetViews>
    <sheetView topLeftCell="A5" zoomScaleNormal="100" workbookViewId="0">
      <selection activeCell="H21" sqref="H21"/>
    </sheetView>
  </sheetViews>
  <sheetFormatPr defaultColWidth="8.6640625" defaultRowHeight="14.4" x14ac:dyDescent="0.3"/>
  <cols>
    <col min="1" max="1" width="14" style="34" customWidth="1"/>
    <col min="2" max="2" width="46" style="34" customWidth="1"/>
    <col min="3" max="4" width="16" style="62" customWidth="1"/>
    <col min="5" max="5" width="42" style="34" customWidth="1"/>
    <col min="6" max="6" width="10" style="34" customWidth="1"/>
  </cols>
  <sheetData>
    <row r="1" spans="1:6" ht="17.25" customHeight="1" x14ac:dyDescent="0.3">
      <c r="A1" s="108" t="s">
        <v>242</v>
      </c>
      <c r="B1" s="108"/>
      <c r="C1" s="108"/>
      <c r="D1" s="108"/>
      <c r="E1" s="108"/>
      <c r="F1" s="108"/>
    </row>
    <row r="2" spans="1:6" ht="18" customHeight="1" x14ac:dyDescent="0.3">
      <c r="A2" s="35" t="s">
        <v>243</v>
      </c>
      <c r="B2" s="35" t="s">
        <v>165</v>
      </c>
      <c r="C2" s="63" t="s">
        <v>244</v>
      </c>
      <c r="D2" s="63" t="s">
        <v>245</v>
      </c>
      <c r="E2" s="35" t="s">
        <v>246</v>
      </c>
      <c r="F2" s="35" t="s">
        <v>166</v>
      </c>
    </row>
    <row r="3" spans="1:6" ht="18" customHeight="1" x14ac:dyDescent="0.3">
      <c r="A3" s="61" t="s">
        <v>247</v>
      </c>
      <c r="B3" s="61" t="s">
        <v>248</v>
      </c>
      <c r="C3" s="19">
        <v>95</v>
      </c>
      <c r="D3" s="19"/>
      <c r="E3" s="61" t="s">
        <v>249</v>
      </c>
      <c r="F3" s="61" t="s">
        <v>250</v>
      </c>
    </row>
    <row r="4" spans="1:6" ht="18" customHeight="1" x14ac:dyDescent="0.3">
      <c r="A4" s="61" t="s">
        <v>251</v>
      </c>
      <c r="B4" s="61" t="s">
        <v>252</v>
      </c>
      <c r="C4" s="19">
        <v>50.25</v>
      </c>
      <c r="D4" s="19">
        <v>240.5</v>
      </c>
      <c r="E4" s="61" t="s">
        <v>249</v>
      </c>
      <c r="F4" s="61" t="s">
        <v>250</v>
      </c>
    </row>
    <row r="5" spans="1:6" ht="18" customHeight="1" x14ac:dyDescent="0.3">
      <c r="A5" s="61" t="s">
        <v>253</v>
      </c>
      <c r="B5" s="61" t="s">
        <v>254</v>
      </c>
      <c r="C5" s="19">
        <v>56</v>
      </c>
      <c r="D5" s="19"/>
      <c r="E5" s="61" t="s">
        <v>249</v>
      </c>
      <c r="F5" s="61" t="s">
        <v>250</v>
      </c>
    </row>
    <row r="6" spans="1:6" ht="18" customHeight="1" x14ac:dyDescent="0.3">
      <c r="A6" s="61" t="s">
        <v>255</v>
      </c>
      <c r="B6" s="61" t="s">
        <v>256</v>
      </c>
      <c r="C6" s="19">
        <v>56</v>
      </c>
      <c r="D6" s="19"/>
      <c r="E6" s="61" t="s">
        <v>257</v>
      </c>
      <c r="F6" s="61" t="s">
        <v>258</v>
      </c>
    </row>
    <row r="7" spans="1:6" ht="18" customHeight="1" x14ac:dyDescent="0.3">
      <c r="A7" s="61" t="s">
        <v>259</v>
      </c>
      <c r="B7" s="61" t="s">
        <v>260</v>
      </c>
      <c r="C7" s="19" t="s">
        <v>261</v>
      </c>
      <c r="D7" s="19"/>
      <c r="E7" s="61" t="s">
        <v>262</v>
      </c>
      <c r="F7" s="61" t="s">
        <v>258</v>
      </c>
    </row>
    <row r="8" spans="1:6" ht="18" customHeight="1" x14ac:dyDescent="0.3">
      <c r="A8" s="61" t="s">
        <v>263</v>
      </c>
      <c r="B8" s="61" t="s">
        <v>264</v>
      </c>
      <c r="C8" s="19">
        <v>0.02</v>
      </c>
      <c r="D8" s="19" t="s">
        <v>265</v>
      </c>
      <c r="E8" s="61" t="s">
        <v>266</v>
      </c>
      <c r="F8" s="61" t="s">
        <v>267</v>
      </c>
    </row>
    <row r="13" spans="1:6" x14ac:dyDescent="0.3">
      <c r="A13"/>
    </row>
  </sheetData>
  <mergeCells count="1">
    <mergeCell ref="A1:F1"/>
  </mergeCells>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6"/>
  <sheetViews>
    <sheetView topLeftCell="A13" zoomScaleNormal="100" workbookViewId="0">
      <selection activeCell="A27" sqref="A27:XFD27"/>
    </sheetView>
  </sheetViews>
  <sheetFormatPr defaultColWidth="8.6640625" defaultRowHeight="14.4" x14ac:dyDescent="0.3"/>
  <cols>
    <col min="1" max="1" width="42" customWidth="1"/>
    <col min="2" max="9" width="15" customWidth="1"/>
  </cols>
  <sheetData>
    <row r="1" spans="1:9" ht="17.25" customHeight="1" x14ac:dyDescent="0.3">
      <c r="A1" s="79" t="s">
        <v>268</v>
      </c>
      <c r="B1" s="74"/>
      <c r="C1" s="74"/>
      <c r="D1" s="74"/>
      <c r="E1" s="74"/>
      <c r="F1" s="74"/>
      <c r="G1" s="74"/>
      <c r="H1" s="74"/>
      <c r="I1" s="74"/>
    </row>
    <row r="2" spans="1:9" x14ac:dyDescent="0.3">
      <c r="A2" s="74"/>
      <c r="B2" s="74"/>
      <c r="C2" s="74"/>
      <c r="D2" s="74"/>
      <c r="E2" s="74"/>
      <c r="F2" s="74"/>
      <c r="G2" s="74"/>
      <c r="H2" s="74"/>
      <c r="I2" s="74"/>
    </row>
    <row r="3" spans="1:9" ht="15" customHeight="1" x14ac:dyDescent="0.3">
      <c r="A3" s="79" t="s">
        <v>269</v>
      </c>
      <c r="B3" s="74"/>
      <c r="C3" s="74"/>
      <c r="D3" s="74"/>
      <c r="E3" s="74"/>
      <c r="F3" s="74"/>
      <c r="G3" s="74"/>
      <c r="H3" s="74"/>
      <c r="I3" s="74"/>
    </row>
    <row r="4" spans="1:9" ht="30" customHeight="1" x14ac:dyDescent="0.3">
      <c r="A4" s="74" t="s">
        <v>270</v>
      </c>
      <c r="B4" s="80">
        <v>0.05</v>
      </c>
      <c r="C4" s="74"/>
      <c r="D4" s="109" t="s">
        <v>271</v>
      </c>
      <c r="E4" s="109"/>
      <c r="F4" s="109"/>
      <c r="G4" s="109"/>
      <c r="H4" s="109"/>
      <c r="I4" s="109"/>
    </row>
    <row r="5" spans="1:9" ht="30" customHeight="1" x14ac:dyDescent="0.3">
      <c r="A5" s="74" t="s">
        <v>272</v>
      </c>
      <c r="B5" s="80">
        <v>0.105</v>
      </c>
      <c r="C5" s="74"/>
      <c r="D5" s="109" t="s">
        <v>273</v>
      </c>
      <c r="E5" s="109"/>
      <c r="F5" s="109"/>
      <c r="G5" s="109"/>
      <c r="H5" s="109"/>
      <c r="I5" s="109"/>
    </row>
    <row r="6" spans="1:9" ht="30" customHeight="1" x14ac:dyDescent="0.3">
      <c r="A6" s="74" t="s">
        <v>274</v>
      </c>
      <c r="B6" s="80">
        <v>0.2</v>
      </c>
      <c r="C6" s="74"/>
      <c r="D6" s="109" t="s">
        <v>275</v>
      </c>
      <c r="E6" s="109"/>
      <c r="F6" s="109"/>
      <c r="G6" s="109"/>
      <c r="H6" s="109"/>
      <c r="I6" s="109"/>
    </row>
    <row r="7" spans="1:9" ht="30" customHeight="1" x14ac:dyDescent="0.3">
      <c r="A7" s="74" t="s">
        <v>276</v>
      </c>
      <c r="B7" s="80">
        <v>0.6</v>
      </c>
      <c r="C7" s="74"/>
      <c r="D7" s="109" t="s">
        <v>277</v>
      </c>
      <c r="E7" s="109"/>
      <c r="F7" s="109"/>
      <c r="G7" s="109"/>
      <c r="H7" s="109"/>
      <c r="I7" s="109"/>
    </row>
    <row r="8" spans="1:9" ht="30" customHeight="1" x14ac:dyDescent="0.3">
      <c r="A8" s="74" t="s">
        <v>278</v>
      </c>
      <c r="B8" s="80">
        <v>0</v>
      </c>
      <c r="C8" s="74"/>
      <c r="D8" s="109" t="s">
        <v>279</v>
      </c>
      <c r="E8" s="109"/>
      <c r="F8" s="109"/>
      <c r="G8" s="109"/>
      <c r="H8" s="109"/>
      <c r="I8" s="109"/>
    </row>
    <row r="9" spans="1:9" ht="45" customHeight="1" x14ac:dyDescent="0.3">
      <c r="A9" s="74" t="s">
        <v>280</v>
      </c>
      <c r="B9" s="80">
        <v>0.3</v>
      </c>
      <c r="C9" s="74"/>
      <c r="D9" s="109" t="s">
        <v>281</v>
      </c>
      <c r="E9" s="109"/>
      <c r="F9" s="109"/>
      <c r="G9" s="109"/>
      <c r="H9" s="109"/>
      <c r="I9" s="109"/>
    </row>
    <row r="10" spans="1:9" x14ac:dyDescent="0.3">
      <c r="A10" s="74"/>
      <c r="B10" s="74"/>
      <c r="C10" s="74"/>
      <c r="D10" s="74"/>
      <c r="E10" s="74"/>
      <c r="F10" s="74"/>
      <c r="G10" s="74"/>
      <c r="H10" s="74"/>
      <c r="I10" s="74"/>
    </row>
    <row r="11" spans="1:9" ht="31.5" customHeight="1" x14ac:dyDescent="0.3">
      <c r="A11" s="83" t="s">
        <v>282</v>
      </c>
      <c r="B11" s="84" t="s">
        <v>283</v>
      </c>
      <c r="C11" s="84" t="s">
        <v>284</v>
      </c>
      <c r="D11" s="84" t="s">
        <v>285</v>
      </c>
      <c r="E11" s="84" t="s">
        <v>286</v>
      </c>
      <c r="F11" s="84" t="s">
        <v>287</v>
      </c>
      <c r="G11" s="84" t="s">
        <v>288</v>
      </c>
      <c r="H11" s="84" t="s">
        <v>289</v>
      </c>
      <c r="I11" s="84" t="s">
        <v>290</v>
      </c>
    </row>
    <row r="12" spans="1:9" ht="15" customHeight="1" x14ac:dyDescent="0.3">
      <c r="A12" s="74" t="s">
        <v>17</v>
      </c>
      <c r="B12" s="82">
        <f>'Income Statement'!D2</f>
        <v>99848</v>
      </c>
      <c r="C12" s="82">
        <f>B12*(1+$B$4)</f>
        <v>104840.40000000001</v>
      </c>
      <c r="D12" s="82">
        <f>C12*(1+$B$4)</f>
        <v>110082.42000000001</v>
      </c>
      <c r="E12" s="82">
        <f>D12*(1+$B$4)</f>
        <v>115586.54100000001</v>
      </c>
      <c r="F12" s="82">
        <f>E12*(1+$B$4)</f>
        <v>121365.86805000002</v>
      </c>
      <c r="G12" s="82">
        <f>F12*(1+$B$4)</f>
        <v>127434.16145250002</v>
      </c>
      <c r="H12" s="82">
        <f>'Income Statement'!C2</f>
        <v>187095</v>
      </c>
      <c r="I12" s="82">
        <f>'Income Statement'!B2</f>
        <v>200477</v>
      </c>
    </row>
    <row r="13" spans="1:9" ht="15" customHeight="1" x14ac:dyDescent="0.3">
      <c r="A13" s="74" t="s">
        <v>291</v>
      </c>
      <c r="B13" s="82">
        <f>'Income Statement'!D10</f>
        <v>9298</v>
      </c>
      <c r="C13" s="82">
        <f>C12*$B$5</f>
        <v>11008.242</v>
      </c>
      <c r="D13" s="82">
        <f>D12*$B$5</f>
        <v>11558.654100000002</v>
      </c>
      <c r="E13" s="82">
        <f>E12*$B$5</f>
        <v>12136.586805000001</v>
      </c>
      <c r="F13" s="82">
        <f>F12*$B$5</f>
        <v>12743.416145250001</v>
      </c>
      <c r="G13" s="82">
        <f>G12*$B$5</f>
        <v>13380.586952512502</v>
      </c>
      <c r="H13" s="82">
        <f>'Income Statement'!C10</f>
        <v>-2256</v>
      </c>
      <c r="I13" s="82">
        <f>'Income Statement'!B10</f>
        <v>1253</v>
      </c>
    </row>
    <row r="14" spans="1:9" ht="15" customHeight="1" x14ac:dyDescent="0.3">
      <c r="A14" s="74" t="s">
        <v>292</v>
      </c>
      <c r="B14" s="82">
        <f t="shared" ref="B14:G14" si="0">-B13*$B$6</f>
        <v>-1859.6000000000001</v>
      </c>
      <c r="C14" s="82">
        <f t="shared" si="0"/>
        <v>-2201.6484</v>
      </c>
      <c r="D14" s="82">
        <f t="shared" si="0"/>
        <v>-2311.7308200000002</v>
      </c>
      <c r="E14" s="82">
        <f t="shared" si="0"/>
        <v>-2427.3173610000003</v>
      </c>
      <c r="F14" s="82">
        <f t="shared" si="0"/>
        <v>-2548.6832290500006</v>
      </c>
      <c r="G14" s="82">
        <f t="shared" si="0"/>
        <v>-2676.1173905025007</v>
      </c>
      <c r="H14" s="82"/>
      <c r="I14" s="82"/>
    </row>
    <row r="15" spans="1:9" ht="15" customHeight="1" x14ac:dyDescent="0.3">
      <c r="A15" s="74" t="s">
        <v>293</v>
      </c>
      <c r="B15" s="82">
        <f t="shared" ref="B15:G15" si="1">B13+B14</f>
        <v>7438.4</v>
      </c>
      <c r="C15" s="82">
        <f t="shared" si="1"/>
        <v>8806.5936000000002</v>
      </c>
      <c r="D15" s="82">
        <f t="shared" si="1"/>
        <v>9246.9232800000009</v>
      </c>
      <c r="E15" s="82">
        <f t="shared" si="1"/>
        <v>9709.2694440000014</v>
      </c>
      <c r="F15" s="82">
        <f t="shared" si="1"/>
        <v>10194.732916200001</v>
      </c>
      <c r="G15" s="82">
        <f t="shared" si="1"/>
        <v>10704.469562010001</v>
      </c>
      <c r="H15" s="82">
        <f>'Income Statement'!C19</f>
        <v>-60064</v>
      </c>
      <c r="I15" s="82">
        <f>'Income Statement'!B19</f>
        <v>-18667</v>
      </c>
    </row>
    <row r="16" spans="1:9" ht="15" customHeight="1" x14ac:dyDescent="0.3">
      <c r="A16" s="74" t="s">
        <v>294</v>
      </c>
      <c r="B16" s="82"/>
      <c r="C16" s="82">
        <f>C15*$B$9</f>
        <v>2641.9780799999999</v>
      </c>
      <c r="D16" s="82">
        <f>D15*$B$9</f>
        <v>2774.0769840000003</v>
      </c>
      <c r="E16" s="82">
        <f>E15*$B$9</f>
        <v>2912.7808332000004</v>
      </c>
      <c r="F16" s="82">
        <f>F15*$B$9</f>
        <v>3058.4198748600002</v>
      </c>
      <c r="G16" s="82">
        <f>G15*$B$9</f>
        <v>3211.3408686030002</v>
      </c>
      <c r="H16" s="82"/>
      <c r="I16" s="82"/>
    </row>
    <row r="17" spans="1:9" ht="15" customHeight="1" x14ac:dyDescent="0.3">
      <c r="A17" s="74" t="s">
        <v>295</v>
      </c>
      <c r="B17" s="82"/>
      <c r="C17" s="82">
        <f>C15-C16</f>
        <v>6164.6155200000003</v>
      </c>
      <c r="D17" s="82">
        <f>D15-D16</f>
        <v>6472.8462960000006</v>
      </c>
      <c r="E17" s="82">
        <f>E15-E16</f>
        <v>6796.488610800001</v>
      </c>
      <c r="F17" s="82">
        <f>F15-F16</f>
        <v>7136.3130413400004</v>
      </c>
      <c r="G17" s="82">
        <f>G15-G16</f>
        <v>7493.1286934070013</v>
      </c>
      <c r="H17" s="82"/>
      <c r="I17" s="82"/>
    </row>
    <row r="18" spans="1:9" x14ac:dyDescent="0.3">
      <c r="A18" s="74"/>
      <c r="B18" s="74"/>
      <c r="C18" s="74"/>
      <c r="D18" s="74"/>
      <c r="E18" s="74"/>
      <c r="F18" s="74"/>
      <c r="G18" s="74"/>
      <c r="H18" s="74"/>
      <c r="I18" s="74"/>
    </row>
    <row r="19" spans="1:9" ht="15" customHeight="1" x14ac:dyDescent="0.3">
      <c r="A19" s="74" t="s">
        <v>296</v>
      </c>
      <c r="B19" s="82">
        <f>'Financial Position'!D26</f>
        <v>143517</v>
      </c>
      <c r="C19" s="82">
        <f>C12/$B$7</f>
        <v>174734.00000000003</v>
      </c>
      <c r="D19" s="82">
        <f>D12/$B$7</f>
        <v>183470.70000000004</v>
      </c>
      <c r="E19" s="82">
        <f>E12/$B$7</f>
        <v>192644.23500000002</v>
      </c>
      <c r="F19" s="82">
        <f>F12/$B$7</f>
        <v>202276.44675000003</v>
      </c>
      <c r="G19" s="82">
        <f>G12/$B$7</f>
        <v>212390.26908750003</v>
      </c>
      <c r="H19" s="82">
        <f>'Financial Position'!C26</f>
        <v>17505</v>
      </c>
      <c r="I19" s="82">
        <f>'Financial Position'!B26</f>
        <v>16370</v>
      </c>
    </row>
    <row r="20" spans="1:9" ht="15" customHeight="1" x14ac:dyDescent="0.3">
      <c r="A20" s="74" t="s">
        <v>297</v>
      </c>
      <c r="B20" s="82">
        <f>'Financial Position'!D35</f>
        <v>60940</v>
      </c>
      <c r="C20" s="82">
        <f>B20+C15*(1-$B$8)</f>
        <v>69746.593599999993</v>
      </c>
      <c r="D20" s="82">
        <f>C20+D15*(1-$B$8)</f>
        <v>78993.516879999996</v>
      </c>
      <c r="E20" s="82">
        <f>D20+E15*(1-$B$8)</f>
        <v>88702.786324000001</v>
      </c>
      <c r="F20" s="82">
        <f>E20+F15*(1-$B$8)</f>
        <v>98897.519240199996</v>
      </c>
      <c r="G20" s="82">
        <f>F20+G15*(1-$B$8)</f>
        <v>109601.98880220999</v>
      </c>
      <c r="H20" s="82">
        <f>'Financial Position'!C35</f>
        <v>2090</v>
      </c>
      <c r="I20" s="82">
        <f>'Financial Position'!B35</f>
        <v>641</v>
      </c>
    </row>
    <row r="21" spans="1:9" ht="15" customHeight="1" x14ac:dyDescent="0.3">
      <c r="A21" s="74" t="s">
        <v>298</v>
      </c>
      <c r="B21" s="82">
        <f t="shared" ref="B21:I21" si="2">B19-B20</f>
        <v>82577</v>
      </c>
      <c r="C21" s="82">
        <f t="shared" si="2"/>
        <v>104987.40640000004</v>
      </c>
      <c r="D21" s="82">
        <f t="shared" si="2"/>
        <v>104477.18312000005</v>
      </c>
      <c r="E21" s="82">
        <f t="shared" si="2"/>
        <v>103941.44867600001</v>
      </c>
      <c r="F21" s="82">
        <f t="shared" si="2"/>
        <v>103378.92750980004</v>
      </c>
      <c r="G21" s="82">
        <f t="shared" si="2"/>
        <v>102788.28028529003</v>
      </c>
      <c r="H21" s="82">
        <f t="shared" si="2"/>
        <v>15415</v>
      </c>
      <c r="I21" s="82">
        <f t="shared" si="2"/>
        <v>15729</v>
      </c>
    </row>
    <row r="22" spans="1:9" x14ac:dyDescent="0.3">
      <c r="A22" s="74"/>
      <c r="B22" s="74"/>
      <c r="C22" s="74"/>
      <c r="D22" s="74"/>
      <c r="E22" s="74"/>
      <c r="F22" s="74"/>
      <c r="G22" s="74"/>
      <c r="H22" s="74"/>
      <c r="I22" s="74"/>
    </row>
    <row r="23" spans="1:9" ht="15" customHeight="1" x14ac:dyDescent="0.3">
      <c r="A23" s="79" t="s">
        <v>299</v>
      </c>
      <c r="B23" s="74"/>
      <c r="C23" s="74"/>
      <c r="D23" s="74"/>
      <c r="E23" s="74"/>
      <c r="F23" s="74"/>
      <c r="G23" s="74"/>
      <c r="H23" s="74"/>
      <c r="I23" s="74"/>
    </row>
    <row r="24" spans="1:9" ht="15" customHeight="1" x14ac:dyDescent="0.3">
      <c r="A24" s="74" t="s">
        <v>300</v>
      </c>
      <c r="B24" s="74"/>
      <c r="C24" s="81">
        <f>C19-H19</f>
        <v>157229.00000000003</v>
      </c>
      <c r="D24" s="81">
        <f>D19-I19</f>
        <v>167100.70000000004</v>
      </c>
      <c r="E24" s="74"/>
      <c r="F24" s="74"/>
      <c r="G24" s="74"/>
      <c r="H24" s="74"/>
      <c r="I24" s="74"/>
    </row>
    <row r="25" spans="1:9" ht="15" customHeight="1" x14ac:dyDescent="0.3">
      <c r="A25" s="74" t="s">
        <v>301</v>
      </c>
      <c r="B25" s="74"/>
      <c r="C25" s="81">
        <f>C20-H20</f>
        <v>67656.593599999993</v>
      </c>
      <c r="D25" s="81">
        <f>D20-I20</f>
        <v>78352.516879999996</v>
      </c>
      <c r="E25" s="74"/>
      <c r="F25" s="74"/>
      <c r="G25" s="74"/>
      <c r="H25" s="74"/>
      <c r="I25" s="74"/>
    </row>
    <row r="26" spans="1:9" x14ac:dyDescent="0.3">
      <c r="A26" s="74"/>
      <c r="B26" s="74"/>
      <c r="C26" s="74"/>
      <c r="D26" s="74"/>
      <c r="E26" s="74"/>
      <c r="F26" s="74"/>
      <c r="G26" s="74"/>
      <c r="H26" s="74"/>
      <c r="I26" s="74"/>
    </row>
  </sheetData>
  <mergeCells count="6">
    <mergeCell ref="D8:I8"/>
    <mergeCell ref="D9:I9"/>
    <mergeCell ref="D4:I4"/>
    <mergeCell ref="D5:I5"/>
    <mergeCell ref="D6:I6"/>
    <mergeCell ref="D7:I7"/>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65"/>
  <sheetViews>
    <sheetView zoomScaleNormal="100" workbookViewId="0">
      <selection activeCell="H57" sqref="H57:I57"/>
    </sheetView>
  </sheetViews>
  <sheetFormatPr defaultColWidth="8.6640625" defaultRowHeight="14.4" x14ac:dyDescent="0.3"/>
  <cols>
    <col min="1" max="1" width="55" customWidth="1"/>
    <col min="2" max="6" width="16.77734375" style="34" customWidth="1"/>
    <col min="7" max="7" width="13" customWidth="1"/>
  </cols>
  <sheetData>
    <row r="1" spans="1:6" ht="18" customHeight="1" x14ac:dyDescent="0.3">
      <c r="A1" s="79" t="s">
        <v>350</v>
      </c>
      <c r="B1" s="36"/>
      <c r="C1" s="36"/>
      <c r="D1" s="36"/>
      <c r="E1" s="36"/>
      <c r="F1" s="36"/>
    </row>
    <row r="2" spans="1:6" ht="18" customHeight="1" x14ac:dyDescent="0.3">
      <c r="A2" s="74"/>
      <c r="B2" s="36"/>
      <c r="C2" s="36"/>
      <c r="D2" s="36"/>
      <c r="E2" s="36"/>
      <c r="F2" s="36"/>
    </row>
    <row r="3" spans="1:6" ht="18" customHeight="1" x14ac:dyDescent="0.3">
      <c r="A3" s="79" t="s">
        <v>302</v>
      </c>
      <c r="B3" s="36"/>
      <c r="C3" s="36"/>
      <c r="D3" s="36"/>
      <c r="E3" s="36"/>
      <c r="F3" s="36"/>
    </row>
    <row r="4" spans="1:6" ht="18" customHeight="1" x14ac:dyDescent="0.3">
      <c r="A4" s="74" t="s">
        <v>303</v>
      </c>
      <c r="B4" s="86">
        <v>0.09</v>
      </c>
      <c r="C4" s="36"/>
      <c r="D4" s="36"/>
      <c r="E4" s="36"/>
      <c r="F4" s="36"/>
    </row>
    <row r="5" spans="1:6" ht="18" customHeight="1" x14ac:dyDescent="0.3">
      <c r="A5" s="74" t="s">
        <v>304</v>
      </c>
      <c r="B5" s="86">
        <v>6.5000000000000002E-2</v>
      </c>
      <c r="C5" s="36"/>
      <c r="D5" s="36"/>
      <c r="E5" s="36"/>
      <c r="F5" s="36"/>
    </row>
    <row r="6" spans="1:6" ht="18" customHeight="1" x14ac:dyDescent="0.3">
      <c r="A6" s="74" t="s">
        <v>305</v>
      </c>
      <c r="B6" s="86">
        <v>1.1000000000000001</v>
      </c>
      <c r="C6" s="36"/>
      <c r="D6" s="36"/>
      <c r="E6" s="36"/>
      <c r="F6" s="36"/>
    </row>
    <row r="7" spans="1:6" ht="18" customHeight="1" x14ac:dyDescent="0.3">
      <c r="A7" s="74" t="s">
        <v>306</v>
      </c>
      <c r="B7" s="86">
        <v>0.09</v>
      </c>
      <c r="C7" s="36"/>
      <c r="D7" s="36"/>
      <c r="E7" s="36"/>
      <c r="F7" s="36"/>
    </row>
    <row r="8" spans="1:6" ht="18" customHeight="1" x14ac:dyDescent="0.3">
      <c r="A8" s="74" t="s">
        <v>307</v>
      </c>
      <c r="B8" s="87">
        <f>Forecast_5Y!B6</f>
        <v>0.2</v>
      </c>
      <c r="C8" s="36"/>
      <c r="D8" s="36"/>
      <c r="E8" s="36"/>
      <c r="F8" s="36"/>
    </row>
    <row r="9" spans="1:6" ht="18" customHeight="1" x14ac:dyDescent="0.3">
      <c r="A9" s="74" t="s">
        <v>308</v>
      </c>
      <c r="B9" s="86">
        <v>0.45</v>
      </c>
      <c r="C9" s="36"/>
      <c r="D9" s="36"/>
      <c r="E9" s="36"/>
      <c r="F9" s="36"/>
    </row>
    <row r="10" spans="1:6" ht="18" customHeight="1" x14ac:dyDescent="0.3">
      <c r="A10" s="74" t="s">
        <v>309</v>
      </c>
      <c r="B10" s="88">
        <f>B4+B6*B5</f>
        <v>0.1615</v>
      </c>
      <c r="C10" s="36"/>
      <c r="D10" s="36"/>
      <c r="E10" s="36"/>
      <c r="F10" s="36"/>
    </row>
    <row r="11" spans="1:6" ht="18" customHeight="1" x14ac:dyDescent="0.3">
      <c r="A11" s="74" t="s">
        <v>310</v>
      </c>
      <c r="B11" s="87">
        <f>B7*(1-B8)</f>
        <v>7.1999999999999995E-2</v>
      </c>
      <c r="C11" s="36"/>
      <c r="D11" s="36"/>
      <c r="E11" s="36"/>
      <c r="F11" s="36"/>
    </row>
    <row r="12" spans="1:6" ht="18" customHeight="1" x14ac:dyDescent="0.3">
      <c r="A12" s="74" t="s">
        <v>311</v>
      </c>
      <c r="B12" s="88">
        <f>B10*(1-B9)+B11*B9</f>
        <v>0.12122500000000001</v>
      </c>
      <c r="C12" s="36"/>
      <c r="D12" s="36"/>
      <c r="E12" s="36"/>
      <c r="F12" s="36"/>
    </row>
    <row r="13" spans="1:6" ht="18" customHeight="1" x14ac:dyDescent="0.3">
      <c r="A13" s="74"/>
      <c r="B13" s="36"/>
      <c r="C13" s="36"/>
      <c r="D13" s="36"/>
      <c r="E13" s="36"/>
      <c r="F13" s="36"/>
    </row>
    <row r="14" spans="1:6" ht="18" customHeight="1" x14ac:dyDescent="0.3">
      <c r="A14" s="74"/>
      <c r="B14" s="36"/>
      <c r="C14" s="36"/>
      <c r="D14" s="36"/>
      <c r="E14" s="36"/>
      <c r="F14" s="36"/>
    </row>
    <row r="15" spans="1:6" ht="18" customHeight="1" x14ac:dyDescent="0.3">
      <c r="A15" s="79" t="s">
        <v>312</v>
      </c>
      <c r="B15" s="36"/>
      <c r="C15" s="36"/>
      <c r="D15" s="36"/>
      <c r="E15" s="36"/>
      <c r="F15" s="36"/>
    </row>
    <row r="16" spans="1:6" ht="18" customHeight="1" x14ac:dyDescent="0.3">
      <c r="A16" s="74"/>
      <c r="B16" s="36"/>
      <c r="C16" s="36"/>
      <c r="D16" s="36"/>
      <c r="E16" s="36"/>
      <c r="F16" s="36"/>
    </row>
    <row r="17" spans="1:6" ht="18" customHeight="1" x14ac:dyDescent="0.3">
      <c r="A17" s="74" t="s">
        <v>313</v>
      </c>
      <c r="B17" s="86">
        <v>0.03</v>
      </c>
      <c r="C17" s="36"/>
      <c r="D17" s="36"/>
      <c r="E17" s="36"/>
      <c r="F17" s="36"/>
    </row>
    <row r="18" spans="1:6" ht="18" customHeight="1" x14ac:dyDescent="0.3">
      <c r="A18" s="74"/>
      <c r="B18" s="36"/>
      <c r="C18" s="36"/>
      <c r="D18" s="36"/>
      <c r="E18" s="36"/>
      <c r="F18" s="36"/>
    </row>
    <row r="19" spans="1:6" ht="18" customHeight="1" x14ac:dyDescent="0.3">
      <c r="A19" s="83"/>
      <c r="B19" s="89" t="s">
        <v>314</v>
      </c>
      <c r="C19" s="89" t="s">
        <v>315</v>
      </c>
      <c r="D19" s="89" t="s">
        <v>316</v>
      </c>
      <c r="E19" s="89" t="s">
        <v>317</v>
      </c>
      <c r="F19" s="89" t="s">
        <v>318</v>
      </c>
    </row>
    <row r="20" spans="1:6" ht="18" customHeight="1" x14ac:dyDescent="0.3">
      <c r="A20" s="74" t="s">
        <v>319</v>
      </c>
      <c r="B20" s="90">
        <f>Forecast_5Y!C17</f>
        <v>6164.6155200000003</v>
      </c>
      <c r="C20" s="90">
        <f>Forecast_5Y!D17</f>
        <v>6472.8462960000006</v>
      </c>
      <c r="D20" s="90">
        <f>Forecast_5Y!E17</f>
        <v>6796.488610800001</v>
      </c>
      <c r="E20" s="90">
        <f>Forecast_5Y!F17</f>
        <v>7136.3130413400004</v>
      </c>
      <c r="F20" s="90">
        <f>Forecast_5Y!G17</f>
        <v>7493.1286934070013</v>
      </c>
    </row>
    <row r="21" spans="1:6" ht="18" customHeight="1" x14ac:dyDescent="0.3">
      <c r="A21" s="74" t="s">
        <v>320</v>
      </c>
      <c r="B21" s="91">
        <f>1/(1+$B$12)^1</f>
        <v>0.89188164730540265</v>
      </c>
      <c r="C21" s="91">
        <f>1/(1+$B$12)^2</f>
        <v>0.79545287280019861</v>
      </c>
      <c r="D21" s="91">
        <f>1/(1+$B$12)^3</f>
        <v>0.70944981854685607</v>
      </c>
      <c r="E21" s="91">
        <f>1/(1+$B$12)^4</f>
        <v>0.63274527284608895</v>
      </c>
      <c r="F21" s="91">
        <f>1/(1+$B$12)^5</f>
        <v>0.56433389627067621</v>
      </c>
    </row>
    <row r="22" spans="1:6" ht="18" customHeight="1" x14ac:dyDescent="0.3">
      <c r="A22" s="74" t="s">
        <v>321</v>
      </c>
      <c r="B22" s="90">
        <f>B20*B21</f>
        <v>5498.1074449820517</v>
      </c>
      <c r="C22" s="90">
        <f>C20*C21</f>
        <v>5148.8441813473255</v>
      </c>
      <c r="D22" s="90">
        <f>D20*D21</f>
        <v>4821.7676116878347</v>
      </c>
      <c r="E22" s="90">
        <f>E20*E21</f>
        <v>4515.4683424577815</v>
      </c>
      <c r="F22" s="90">
        <f>F20*F21</f>
        <v>4228.6265108079742</v>
      </c>
    </row>
    <row r="23" spans="1:6" ht="18" customHeight="1" x14ac:dyDescent="0.3">
      <c r="A23" s="74"/>
      <c r="B23" s="36"/>
      <c r="C23" s="36"/>
      <c r="D23" s="36"/>
      <c r="E23" s="36"/>
      <c r="F23" s="36"/>
    </row>
    <row r="24" spans="1:6" ht="18" customHeight="1" x14ac:dyDescent="0.3">
      <c r="A24" s="74" t="s">
        <v>322</v>
      </c>
      <c r="B24" s="90">
        <f>F20*(1+B17)/(B12-B17)</f>
        <v>84603.152142605759</v>
      </c>
      <c r="C24" s="36"/>
      <c r="D24" s="36"/>
      <c r="E24" s="36"/>
      <c r="F24" s="36"/>
    </row>
    <row r="25" spans="1:6" ht="18" customHeight="1" x14ac:dyDescent="0.3">
      <c r="A25" s="74" t="s">
        <v>323</v>
      </c>
      <c r="B25" s="90">
        <f>B24*F21</f>
        <v>47744.426485417513</v>
      </c>
      <c r="C25" s="36"/>
      <c r="D25" s="36"/>
      <c r="E25" s="36"/>
      <c r="F25" s="36"/>
    </row>
    <row r="26" spans="1:6" ht="18" customHeight="1" x14ac:dyDescent="0.3">
      <c r="A26" s="74" t="s">
        <v>324</v>
      </c>
      <c r="B26" s="90">
        <f>SUM(B22:F22)</f>
        <v>24212.814091282969</v>
      </c>
      <c r="C26" s="36"/>
      <c r="D26" s="36"/>
      <c r="E26" s="36"/>
      <c r="F26" s="36"/>
    </row>
    <row r="27" spans="1:6" ht="18" customHeight="1" x14ac:dyDescent="0.3">
      <c r="A27" s="74" t="s">
        <v>325</v>
      </c>
      <c r="B27" s="92">
        <f>B26+B25</f>
        <v>71957.240576700482</v>
      </c>
      <c r="C27" s="36"/>
      <c r="D27" s="36"/>
      <c r="E27" s="36"/>
      <c r="F27" s="36"/>
    </row>
    <row r="28" spans="1:6" ht="18" customHeight="1" x14ac:dyDescent="0.3">
      <c r="A28" s="74" t="s">
        <v>326</v>
      </c>
      <c r="B28" s="90">
        <f>('Financial Position'!D37+'Financial Position'!D47)-'Financial Position'!D22</f>
        <v>43515</v>
      </c>
      <c r="C28" s="36"/>
      <c r="D28" s="36"/>
      <c r="E28" s="36"/>
      <c r="F28" s="36"/>
    </row>
    <row r="29" spans="1:6" ht="18" customHeight="1" x14ac:dyDescent="0.3">
      <c r="A29" s="74" t="s">
        <v>327</v>
      </c>
      <c r="B29" s="92">
        <f>B27-B28</f>
        <v>28442.240576700482</v>
      </c>
      <c r="C29" s="36"/>
      <c r="D29" s="36"/>
      <c r="E29" s="36"/>
      <c r="F29" s="36"/>
    </row>
    <row r="30" spans="1:6" ht="18" customHeight="1" x14ac:dyDescent="0.3">
      <c r="A30" s="74" t="s">
        <v>328</v>
      </c>
      <c r="B30" s="93">
        <v>4405</v>
      </c>
      <c r="C30" s="36"/>
      <c r="D30" s="36"/>
      <c r="E30" s="36"/>
      <c r="F30" s="36"/>
    </row>
    <row r="31" spans="1:6" ht="18" customHeight="1" x14ac:dyDescent="0.3">
      <c r="A31" s="74" t="s">
        <v>329</v>
      </c>
      <c r="B31" s="94">
        <f>(B29/B30)</f>
        <v>6.4568083034507335</v>
      </c>
      <c r="C31" s="36"/>
      <c r="D31" s="36"/>
      <c r="E31" s="36"/>
      <c r="F31" s="36"/>
    </row>
    <row r="32" spans="1:6" ht="18" customHeight="1" x14ac:dyDescent="0.3">
      <c r="A32" s="74"/>
      <c r="B32" s="36"/>
      <c r="C32" s="36"/>
      <c r="D32" s="36"/>
      <c r="E32" s="36"/>
      <c r="F32" s="36"/>
    </row>
    <row r="33" spans="1:6" ht="18" customHeight="1" x14ac:dyDescent="0.3">
      <c r="A33" s="74" t="s">
        <v>330</v>
      </c>
      <c r="B33" s="95">
        <f>SharePrice_Data!C8</f>
        <v>0.02</v>
      </c>
      <c r="C33" s="36"/>
      <c r="D33" s="36"/>
      <c r="E33" s="36"/>
      <c r="F33" s="36"/>
    </row>
    <row r="34" spans="1:6" ht="18" customHeight="1" x14ac:dyDescent="0.3">
      <c r="A34" s="74" t="s">
        <v>331</v>
      </c>
      <c r="B34" s="95">
        <f>B31-B33</f>
        <v>6.436808303450734</v>
      </c>
      <c r="C34" s="36"/>
      <c r="D34" s="36"/>
      <c r="E34" s="36"/>
      <c r="F34" s="36"/>
    </row>
    <row r="35" spans="1:6" ht="18" customHeight="1" x14ac:dyDescent="0.3">
      <c r="A35" s="74" t="s">
        <v>332</v>
      </c>
      <c r="B35" s="96">
        <f>B34/B31</f>
        <v>0.99690249438111533</v>
      </c>
      <c r="C35" s="36"/>
      <c r="D35" s="36"/>
      <c r="E35" s="36"/>
      <c r="F35" s="36"/>
    </row>
    <row r="36" spans="1:6" ht="18" customHeight="1" x14ac:dyDescent="0.3">
      <c r="A36" s="74"/>
      <c r="B36" s="36"/>
      <c r="C36" s="36"/>
      <c r="D36" s="36"/>
      <c r="E36" s="36"/>
      <c r="F36" s="36"/>
    </row>
    <row r="37" spans="1:6" ht="18" customHeight="1" x14ac:dyDescent="0.3">
      <c r="A37" s="74"/>
      <c r="B37" s="36"/>
      <c r="C37" s="36"/>
      <c r="D37" s="36"/>
      <c r="E37" s="36"/>
      <c r="F37" s="36"/>
    </row>
    <row r="38" spans="1:6" ht="18" customHeight="1" x14ac:dyDescent="0.3">
      <c r="A38" s="79" t="s">
        <v>333</v>
      </c>
      <c r="B38" s="36"/>
      <c r="C38" s="36"/>
      <c r="D38" s="36"/>
      <c r="E38" s="36"/>
      <c r="F38" s="36"/>
    </row>
    <row r="39" spans="1:6" ht="18" customHeight="1" x14ac:dyDescent="0.3">
      <c r="A39" s="110" t="s">
        <v>334</v>
      </c>
      <c r="B39" s="110"/>
      <c r="C39" s="110"/>
      <c r="D39" s="110"/>
      <c r="E39" s="110"/>
      <c r="F39" s="110"/>
    </row>
    <row r="40" spans="1:6" ht="18" customHeight="1" x14ac:dyDescent="0.3">
      <c r="A40" s="74" t="s">
        <v>335</v>
      </c>
      <c r="B40" s="86">
        <v>0.3</v>
      </c>
      <c r="C40" s="36"/>
      <c r="D40" s="36"/>
      <c r="E40" s="36"/>
      <c r="F40" s="36"/>
    </row>
    <row r="41" spans="1:6" ht="18" customHeight="1" x14ac:dyDescent="0.3">
      <c r="A41" s="74" t="s">
        <v>336</v>
      </c>
      <c r="B41" s="90">
        <f>Forecast_5Y!G15*B40</f>
        <v>3211.3408686030002</v>
      </c>
      <c r="C41" s="36"/>
      <c r="D41" s="36"/>
      <c r="E41" s="36"/>
      <c r="F41" s="36"/>
    </row>
    <row r="42" spans="1:6" ht="18" customHeight="1" x14ac:dyDescent="0.3">
      <c r="A42" s="74" t="s">
        <v>337</v>
      </c>
      <c r="B42" s="90">
        <f>B41*(1+B17)</f>
        <v>3307.6810946610904</v>
      </c>
      <c r="C42" s="36"/>
      <c r="D42" s="36"/>
      <c r="E42" s="36"/>
      <c r="F42" s="36"/>
    </row>
    <row r="43" spans="1:6" ht="18" customHeight="1" x14ac:dyDescent="0.3">
      <c r="A43" s="74" t="s">
        <v>338</v>
      </c>
      <c r="B43" s="90">
        <f>B42/(B10-B17)</f>
        <v>25153.468400464564</v>
      </c>
      <c r="C43" s="36"/>
      <c r="D43" s="36"/>
      <c r="E43" s="36"/>
      <c r="F43" s="36"/>
    </row>
    <row r="44" spans="1:6" ht="18" customHeight="1" x14ac:dyDescent="0.3">
      <c r="A44" s="74" t="s">
        <v>339</v>
      </c>
      <c r="B44" s="94">
        <f>B43/B30</f>
        <v>5.7102084904573358</v>
      </c>
      <c r="C44" s="36"/>
      <c r="D44" s="36"/>
      <c r="E44" s="36"/>
      <c r="F44" s="36"/>
    </row>
    <row r="45" spans="1:6" ht="18" customHeight="1" x14ac:dyDescent="0.3">
      <c r="A45" s="74"/>
      <c r="B45" s="36"/>
      <c r="C45" s="36"/>
      <c r="D45" s="36"/>
      <c r="E45" s="36"/>
      <c r="F45" s="36"/>
    </row>
    <row r="46" spans="1:6" ht="18" customHeight="1" x14ac:dyDescent="0.3">
      <c r="A46" s="74"/>
      <c r="B46" s="36"/>
      <c r="C46" s="36"/>
      <c r="D46" s="36"/>
      <c r="E46" s="36"/>
      <c r="F46" s="36"/>
    </row>
    <row r="47" spans="1:6" ht="18" customHeight="1" x14ac:dyDescent="0.3">
      <c r="A47" s="79" t="s">
        <v>340</v>
      </c>
      <c r="B47" s="36"/>
      <c r="C47" s="36"/>
      <c r="D47" s="36"/>
      <c r="E47" s="36"/>
      <c r="F47" s="36"/>
    </row>
    <row r="48" spans="1:6" ht="18" customHeight="1" x14ac:dyDescent="0.3">
      <c r="A48" s="74" t="s">
        <v>341</v>
      </c>
      <c r="B48" s="97">
        <v>8</v>
      </c>
      <c r="C48" s="36"/>
      <c r="D48" s="36"/>
      <c r="E48" s="36"/>
      <c r="F48" s="36"/>
    </row>
    <row r="49" spans="1:6" ht="18" customHeight="1" x14ac:dyDescent="0.3">
      <c r="A49" s="74" t="s">
        <v>342</v>
      </c>
      <c r="B49" s="90">
        <f>Forecast_5Y!G13</f>
        <v>13380.586952512502</v>
      </c>
      <c r="C49" s="36"/>
      <c r="D49" s="36"/>
      <c r="E49" s="36"/>
      <c r="F49" s="36"/>
    </row>
    <row r="50" spans="1:6" ht="18" customHeight="1" x14ac:dyDescent="0.3">
      <c r="A50" s="74" t="s">
        <v>343</v>
      </c>
      <c r="B50" s="90">
        <f>B48*B49</f>
        <v>107044.69562010001</v>
      </c>
      <c r="C50" s="36"/>
      <c r="D50" s="36"/>
      <c r="E50" s="36"/>
      <c r="F50" s="36"/>
    </row>
    <row r="51" spans="1:6" ht="18" customHeight="1" x14ac:dyDescent="0.3">
      <c r="A51" s="74" t="s">
        <v>344</v>
      </c>
      <c r="B51" s="90">
        <f>('Financial Position'!D37+'Financial Position'!D47)-'Financial Position'!D22</f>
        <v>43515</v>
      </c>
      <c r="C51" s="36"/>
      <c r="D51" s="36"/>
      <c r="E51" s="36"/>
      <c r="F51" s="36"/>
    </row>
    <row r="52" spans="1:6" ht="18" customHeight="1" x14ac:dyDescent="0.3">
      <c r="A52" s="74" t="s">
        <v>345</v>
      </c>
      <c r="B52" s="90">
        <f>B50-B51</f>
        <v>63529.695620100014</v>
      </c>
      <c r="C52" s="36"/>
      <c r="D52" s="36"/>
      <c r="E52" s="36"/>
      <c r="F52" s="36"/>
    </row>
    <row r="53" spans="1:6" ht="18" customHeight="1" x14ac:dyDescent="0.3">
      <c r="A53" s="74" t="s">
        <v>346</v>
      </c>
      <c r="B53" s="94">
        <f>B52/B30</f>
        <v>14.422178347355281</v>
      </c>
      <c r="C53" s="36"/>
      <c r="D53" s="36"/>
      <c r="E53" s="36"/>
      <c r="F53" s="36"/>
    </row>
    <row r="54" spans="1:6" ht="18" customHeight="1" x14ac:dyDescent="0.3">
      <c r="A54" s="74"/>
      <c r="B54" s="36"/>
      <c r="C54" s="36"/>
      <c r="D54" s="36"/>
      <c r="E54" s="36"/>
      <c r="F54" s="36"/>
    </row>
    <row r="55" spans="1:6" ht="18" customHeight="1" x14ac:dyDescent="0.3">
      <c r="A55" s="74"/>
      <c r="B55" s="36"/>
      <c r="C55" s="36"/>
      <c r="D55" s="36"/>
      <c r="E55" s="36"/>
      <c r="F55" s="36"/>
    </row>
    <row r="56" spans="1:6" ht="18" customHeight="1" x14ac:dyDescent="0.3">
      <c r="A56" s="79" t="s">
        <v>347</v>
      </c>
      <c r="B56" s="36"/>
      <c r="C56" s="36"/>
      <c r="D56" s="36"/>
      <c r="E56" s="36"/>
      <c r="F56" s="36"/>
    </row>
    <row r="57" spans="1:6" ht="18" customHeight="1" x14ac:dyDescent="0.3">
      <c r="A57" s="74"/>
      <c r="B57" s="36"/>
      <c r="C57" s="36"/>
      <c r="D57" s="36"/>
      <c r="E57" s="36"/>
      <c r="F57" s="36"/>
    </row>
    <row r="58" spans="1:6" ht="18" customHeight="1" x14ac:dyDescent="0.3">
      <c r="A58" s="74" t="s">
        <v>348</v>
      </c>
      <c r="B58" s="88">
        <v>0.01</v>
      </c>
      <c r="C58" s="88">
        <v>0.02</v>
      </c>
      <c r="D58" s="88">
        <v>0.03</v>
      </c>
      <c r="E58" s="88">
        <v>0.04</v>
      </c>
      <c r="F58" s="88">
        <v>0.05</v>
      </c>
    </row>
    <row r="59" spans="1:6" ht="18" customHeight="1" x14ac:dyDescent="0.3">
      <c r="A59" s="85">
        <v>0.11</v>
      </c>
      <c r="B59" s="95">
        <f>(SUMPRODUCT($B$20:$F$20,1/(1+$A59)^{1,2,3,4,5})+ ($F$20*(1+B$58)/($A59-B$58))/(1+$A59)^5- $B$28) / $B$30</f>
        <v>5.9755321020024983</v>
      </c>
      <c r="C59" s="95">
        <f>(SUMPRODUCT($B$20:$F$20,1/(1+$A59)^{1,2,3,4,5})+ ($F$20*(1+C$58)/($A59-C$58))/(1+$A59)^5- $B$28) / $B$30</f>
        <v>7.220570811449301</v>
      </c>
      <c r="D59" s="95">
        <f>(SUMPRODUCT($B$20:$F$20,1/(1+$A59)^{1,2,3,4,5})+ ($F$20*(1+D$58)/($A59-D$58))/(1+$A59)^5- $B$28) / $B$30</f>
        <v>8.7768691982578027</v>
      </c>
      <c r="E59" s="95">
        <f>(SUMPRODUCT($B$20:$F$20,1/(1+$A59)^{1,2,3,4,5})+ ($F$20*(1+E$58)/($A59-E$58))/(1+$A59)^5- $B$28) / $B$30</f>
        <v>10.777824267011592</v>
      </c>
      <c r="F59" s="95">
        <f>(SUMPRODUCT($B$20:$F$20,1/(1+$A59)^{1,2,3,4,5})+ ($F$20*(1+F$58)/($A59-F$58))/(1+$A59)^5- $B$28) / $B$30</f>
        <v>13.445764358683313</v>
      </c>
    </row>
    <row r="60" spans="1:6" ht="18" customHeight="1" x14ac:dyDescent="0.3">
      <c r="A60" s="85">
        <v>0.12</v>
      </c>
      <c r="B60" s="95">
        <f>(SUMPRODUCT($B$20:$F$20,1/(1+$A60)^{1,2,3,4,5})+ ($F$20*(1+B$58)/($A60-B$58))/(1+$A60)^5- $B$28) / $B$30</f>
        <v>4.4978833751797733</v>
      </c>
      <c r="C60" s="95">
        <f>(SUMPRODUCT($B$20:$F$20,1/(1+$A60)^{1,2,3,4,5})+ ($F$20*(1+C$58)/($A60-C$58))/(1+$A60)^5- $B$28) / $B$30</f>
        <v>5.4806547606867646</v>
      </c>
      <c r="D60" s="95">
        <f>(SUMPRODUCT($B$20:$F$20,1/(1+$A60)^{1,2,3,4,5})+ ($F$20*(1+D$58)/($A60-D$58))/(1+$A60)^5- $B$28) / $B$30</f>
        <v>6.6818197874175302</v>
      </c>
      <c r="E60" s="95">
        <f>(SUMPRODUCT($B$20:$F$20,1/(1+$A60)^{1,2,3,4,5})+ ($F$20*(1+E$58)/($A60-E$58))/(1+$A60)^5- $B$28) / $B$30</f>
        <v>8.1832760708309866</v>
      </c>
      <c r="F60" s="95">
        <f>(SUMPRODUCT($B$20:$F$20,1/(1+$A60)^{1,2,3,4,5})+ ($F$20*(1+F$58)/($A60-F$58))/(1+$A60)^5- $B$28) / $B$30</f>
        <v>10.113719863791147</v>
      </c>
    </row>
    <row r="61" spans="1:6" ht="18" customHeight="1" x14ac:dyDescent="0.3">
      <c r="A61" s="85">
        <v>0.13</v>
      </c>
      <c r="B61" s="95">
        <f>(SUMPRODUCT($B$20:$F$20,1/(1+$A61)^{1,2,3,4,5})+ ($F$20*(1+B$58)/($A61-B$58))/(1+$A61)^5- $B$28) / $B$30</f>
        <v>3.2676602378185748</v>
      </c>
      <c r="C61" s="95">
        <f>(SUMPRODUCT($B$20:$F$20,1/(1+$A61)^{1,2,3,4,5})+ ($F$20*(1+C$58)/($A61-C$58))/(1+$A61)^5- $B$28) / $B$30</f>
        <v>4.05802864778284</v>
      </c>
      <c r="D61" s="95">
        <f>(SUMPRODUCT($B$20:$F$20,1/(1+$A61)^{1,2,3,4,5})+ ($F$20*(1+D$58)/($A61-D$58))/(1+$A61)^5- $B$28) / $B$30</f>
        <v>5.0064707397399575</v>
      </c>
      <c r="E61" s="95">
        <f>(SUMPRODUCT($B$20:$F$20,1/(1+$A61)^{1,2,3,4,5})+ ($F$20*(1+E$58)/($A61-E$58))/(1+$A61)^5- $B$28) / $B$30</f>
        <v>6.165677741020879</v>
      </c>
      <c r="F61" s="95">
        <f>(SUMPRODUCT($B$20:$F$20,1/(1+$A61)^{1,2,3,4,5})+ ($F$20*(1+F$58)/($A61-F$58))/(1+$A61)^5- $B$28) / $B$30</f>
        <v>7.6146864926220346</v>
      </c>
    </row>
    <row r="62" spans="1:6" ht="18" customHeight="1" x14ac:dyDescent="0.3">
      <c r="A62" s="85">
        <v>0.14000000000000001</v>
      </c>
      <c r="B62" s="95">
        <f>(SUMPRODUCT($B$20:$F$20,1/(1+$A62)^{1,2,3,4,5})+ ($F$20*(1+B$58)/($A62-B$58))/(1+$A62)^5- $B$28) / $B$30</f>
        <v>2.2277165418761125</v>
      </c>
      <c r="C62" s="95">
        <f>(SUMPRODUCT($B$20:$F$20,1/(1+$A62)^{1,2,3,4,5})+ ($F$20*(1+C$58)/($A62-C$58))/(1+$A62)^5- $B$28) / $B$30</f>
        <v>2.8733310410121398</v>
      </c>
      <c r="D62" s="95">
        <f>(SUMPRODUCT($B$20:$F$20,1/(1+$A62)^{1,2,3,4,5})+ ($F$20*(1+D$58)/($A62-D$58))/(1+$A62)^5- $B$28) / $B$30</f>
        <v>3.6363299945365331</v>
      </c>
      <c r="E62" s="95">
        <f>(SUMPRODUCT($B$20:$F$20,1/(1+$A62)^{1,2,3,4,5})+ ($F$20*(1+E$58)/($A62-E$58))/(1+$A62)^5- $B$28) / $B$30</f>
        <v>4.5519287387658061</v>
      </c>
      <c r="F62" s="95">
        <f>(SUMPRODUCT($B$20:$F$20,1/(1+$A62)^{1,2,3,4,5})+ ($F$20*(1+F$58)/($A62-F$58))/(1+$A62)^5- $B$28) / $B$30</f>
        <v>5.6709938706015866</v>
      </c>
    </row>
    <row r="63" spans="1:6" ht="18" customHeight="1" x14ac:dyDescent="0.3">
      <c r="A63" s="85">
        <v>0.15</v>
      </c>
      <c r="B63" s="95">
        <f>(SUMPRODUCT($B$20:$F$20,1/(1+$A63)^{1,2,3,4,5})+ ($F$20*(1+B$58)/($A63-B$58))/(1+$A63)^5- $B$28) / $B$30</f>
        <v>1.3372360433911281</v>
      </c>
      <c r="C63" s="95">
        <f>(SUMPRODUCT($B$20:$F$20,1/(1+$A63)^{1,2,3,4,5})+ ($F$20*(1+C$58)/($A63-C$58))/(1+$A63)^5- $B$28) / $B$30</f>
        <v>1.8716213760053819</v>
      </c>
      <c r="D63" s="95">
        <f>(SUMPRODUCT($B$20:$F$20,1/(1+$A63)^{1,2,3,4,5})+ ($F$20*(1+D$58)/($A63-D$58))/(1+$A63)^5- $B$28) / $B$30</f>
        <v>2.4950709307220129</v>
      </c>
      <c r="E63" s="95">
        <f>(SUMPRODUCT($B$20:$F$20,1/(1+$A63)^{1,2,3,4,5})+ ($F$20*(1+E$58)/($A63-E$58))/(1+$A63)^5- $B$28) / $B$30</f>
        <v>3.2318749499325756</v>
      </c>
      <c r="F63" s="95">
        <f>(SUMPRODUCT($B$20:$F$20,1/(1+$A63)^{1,2,3,4,5})+ ($F$20*(1+F$58)/($A63-F$58))/(1+$A63)^5- $B$28) / $B$30</f>
        <v>4.1160397729852525</v>
      </c>
    </row>
    <row r="64" spans="1:6" ht="18" customHeight="1" x14ac:dyDescent="0.3">
      <c r="A64" s="74"/>
      <c r="B64" s="36"/>
      <c r="C64" s="36"/>
      <c r="D64" s="36"/>
      <c r="E64" s="36"/>
      <c r="F64" s="36"/>
    </row>
    <row r="65" spans="1:6" ht="18" customHeight="1" x14ac:dyDescent="0.3">
      <c r="A65" s="111" t="s">
        <v>349</v>
      </c>
      <c r="B65" s="111"/>
      <c r="C65" s="111"/>
      <c r="D65" s="111"/>
      <c r="E65" s="111"/>
      <c r="F65" s="111"/>
    </row>
  </sheetData>
  <mergeCells count="2">
    <mergeCell ref="A39:F39"/>
    <mergeCell ref="A65:F65"/>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topLeftCell="A52" zoomScaleNormal="100" workbookViewId="0">
      <selection activeCell="A15" sqref="A15:D15"/>
    </sheetView>
  </sheetViews>
  <sheetFormatPr defaultColWidth="8.6640625" defaultRowHeight="14.4" x14ac:dyDescent="0.3"/>
  <cols>
    <col min="1" max="7" width="16.77734375" customWidth="1"/>
  </cols>
  <sheetData>
    <row r="1" spans="1:7" ht="18" customHeight="1" x14ac:dyDescent="0.3">
      <c r="A1" s="79" t="s">
        <v>351</v>
      </c>
      <c r="B1" s="74"/>
      <c r="C1" s="74"/>
      <c r="D1" s="74"/>
      <c r="E1" s="74"/>
      <c r="F1" s="74"/>
      <c r="G1" s="74"/>
    </row>
    <row r="2" spans="1:7" ht="18" customHeight="1" x14ac:dyDescent="0.3">
      <c r="A2" s="110" t="s">
        <v>0</v>
      </c>
      <c r="B2" s="110"/>
      <c r="C2" s="110"/>
      <c r="D2" s="110"/>
      <c r="E2" s="110"/>
      <c r="F2" s="110"/>
      <c r="G2" s="110"/>
    </row>
    <row r="3" spans="1:7" ht="18" customHeight="1" x14ac:dyDescent="0.3">
      <c r="A3" s="74"/>
      <c r="B3" s="74"/>
      <c r="C3" s="74"/>
      <c r="D3" s="74"/>
      <c r="E3" s="74"/>
      <c r="F3" s="74"/>
      <c r="G3" s="74"/>
    </row>
    <row r="4" spans="1:7" ht="18" customHeight="1" x14ac:dyDescent="0.3">
      <c r="A4" s="83" t="s">
        <v>1</v>
      </c>
      <c r="B4" s="83">
        <v>2013</v>
      </c>
      <c r="C4" s="83">
        <v>2014</v>
      </c>
      <c r="D4" s="83">
        <v>2015</v>
      </c>
      <c r="E4" s="83">
        <v>2016</v>
      </c>
      <c r="F4" s="83">
        <v>2017</v>
      </c>
      <c r="G4" s="83">
        <v>2018</v>
      </c>
    </row>
    <row r="5" spans="1:7" ht="18" customHeight="1" x14ac:dyDescent="0.3">
      <c r="A5" s="74" t="s">
        <v>2</v>
      </c>
      <c r="B5" s="98">
        <f>'Income Statement'!G2</f>
        <v>97938</v>
      </c>
      <c r="C5" s="98">
        <f>'Income Statement'!F2</f>
        <v>117364</v>
      </c>
      <c r="D5" s="98">
        <f>'Income Statement'!E2</f>
        <v>43445</v>
      </c>
      <c r="E5" s="98">
        <f>'Income Statement'!D2</f>
        <v>99848</v>
      </c>
      <c r="F5" s="98">
        <f>'Income Statement'!C2</f>
        <v>187095</v>
      </c>
      <c r="G5" s="98">
        <f>'Income Statement'!B2</f>
        <v>200477</v>
      </c>
    </row>
    <row r="6" spans="1:7" ht="18" customHeight="1" x14ac:dyDescent="0.3">
      <c r="A6" s="74" t="s">
        <v>3</v>
      </c>
      <c r="B6" s="77">
        <f>Ratios!D5</f>
        <v>1.2447367105065761</v>
      </c>
      <c r="C6" s="77">
        <f>Ratios!D6</f>
        <v>1.4526620677456443</v>
      </c>
      <c r="D6" s="77">
        <f>Ratios!D7</f>
        <v>0.44687286648864</v>
      </c>
      <c r="E6" s="77">
        <f>Ratios!D8</f>
        <v>0.91787788821479277</v>
      </c>
      <c r="F6" s="77">
        <f>Ratios!D9</f>
        <v>0.31658112346735101</v>
      </c>
      <c r="G6" s="77">
        <f>Ratios!D10</f>
        <v>0.53474178403755868</v>
      </c>
    </row>
    <row r="7" spans="1:7" ht="18" customHeight="1" x14ac:dyDescent="0.3">
      <c r="A7" s="74" t="s">
        <v>4</v>
      </c>
      <c r="B7" s="76">
        <f>Ratios!B92</f>
        <v>4.827728617152436E-2</v>
      </c>
      <c r="C7" s="76">
        <f>Ratios!B93</f>
        <v>5.0461484937786509E-2</v>
      </c>
      <c r="D7" s="76">
        <f>Ratios!B94</f>
        <v>5.9261559160650984E-2</v>
      </c>
      <c r="E7" s="76">
        <f>Ratios!B95</f>
        <v>0.10723468299922657</v>
      </c>
      <c r="F7" s="76">
        <f>Ratios!B96</f>
        <v>-3.4312482147957728</v>
      </c>
      <c r="G7" s="76">
        <f>Ratios!B97</f>
        <v>-1.1403176542455711</v>
      </c>
    </row>
    <row r="8" spans="1:7" ht="18" customHeight="1" x14ac:dyDescent="0.3">
      <c r="A8" s="74" t="s">
        <v>5</v>
      </c>
      <c r="B8" s="76">
        <f>Ratios!B102</f>
        <v>0.11905403786244907</v>
      </c>
      <c r="C8" s="76">
        <f>Ratios!B103</f>
        <v>0.11236556689755742</v>
      </c>
      <c r="D8" s="76">
        <f>Ratios!B104</f>
        <v>0.41410233230880494</v>
      </c>
      <c r="E8" s="76">
        <f>Ratios!B105</f>
        <v>0.25254348539547095</v>
      </c>
      <c r="F8" s="76">
        <f>Ratios!B106</f>
        <v>-28.738755980861242</v>
      </c>
      <c r="G8" s="76">
        <f>Ratios!B107</f>
        <v>-29.121684867394695</v>
      </c>
    </row>
    <row r="9" spans="1:7" ht="18" customHeight="1" x14ac:dyDescent="0.3">
      <c r="A9" s="74" t="s">
        <v>6</v>
      </c>
      <c r="B9" s="76">
        <f>Ratios!B45</f>
        <v>0.29313955845150247</v>
      </c>
      <c r="C9" s="76">
        <f>Ratios!B46</f>
        <v>0.30462852180039235</v>
      </c>
      <c r="D9" s="76">
        <f>Ratios!B47</f>
        <v>0.31716089554682386</v>
      </c>
      <c r="E9" s="76">
        <f>Ratios!B48</f>
        <v>0.41033403192838108</v>
      </c>
      <c r="F9" s="76">
        <f>Ratios!B49</f>
        <v>0.34905969327675468</v>
      </c>
      <c r="G9" s="76">
        <f>Ratios!B50</f>
        <v>0.49180234218794633</v>
      </c>
    </row>
    <row r="10" spans="1:7" ht="18" customHeight="1" x14ac:dyDescent="0.3">
      <c r="A10" s="74" t="s">
        <v>7</v>
      </c>
      <c r="B10" s="77">
        <f>Distress_Models!B16</f>
        <v>1.4895768222029557</v>
      </c>
      <c r="C10" s="77">
        <f>Distress_Models!C16</f>
        <v>1.9772728785808766</v>
      </c>
      <c r="D10" s="77">
        <f>Distress_Models!D16</f>
        <v>-2.9898630343239039</v>
      </c>
      <c r="E10" s="77">
        <f>Distress_Models!E16</f>
        <v>0.59151300586023825</v>
      </c>
      <c r="F10" s="77">
        <f>Distress_Models!F16</f>
        <v>-5.9068497461871559</v>
      </c>
      <c r="G10" s="77">
        <f>Distress_Models!G16</f>
        <v>-3.7728406451933862</v>
      </c>
    </row>
    <row r="11" spans="1:7" ht="18" customHeight="1" x14ac:dyDescent="0.3">
      <c r="A11" s="74" t="s">
        <v>8</v>
      </c>
      <c r="B11" s="76">
        <f>Ratios!D124</f>
        <v>0.11448318585145731</v>
      </c>
      <c r="C11" s="76">
        <f>Ratios!D125</f>
        <v>0.14228266208251472</v>
      </c>
      <c r="D11" s="76">
        <f>Ratios!D126</f>
        <v>0.25122512872260599</v>
      </c>
      <c r="E11" s="76">
        <f>Ratios!D127</f>
        <v>0.33419734247510746</v>
      </c>
      <c r="F11" s="76">
        <f>Ratios!D128</f>
        <v>0.26238217652099399</v>
      </c>
      <c r="G11" s="76">
        <f>Ratios!D129</f>
        <v>0.27397678680513132</v>
      </c>
    </row>
    <row r="12" spans="1:7" ht="18" customHeight="1" x14ac:dyDescent="0.3">
      <c r="A12" s="74"/>
      <c r="B12" s="74"/>
      <c r="C12" s="74"/>
      <c r="D12" s="74"/>
      <c r="E12" s="74"/>
      <c r="F12" s="74"/>
      <c r="G12" s="74"/>
    </row>
    <row r="13" spans="1:7" ht="18" customHeight="1" x14ac:dyDescent="0.3">
      <c r="A13" s="74"/>
      <c r="B13" s="74"/>
      <c r="C13" s="74"/>
      <c r="D13" s="74"/>
      <c r="E13" s="74"/>
      <c r="F13" s="74"/>
      <c r="G13" s="74"/>
    </row>
    <row r="14" spans="1:7" ht="18" customHeight="1" x14ac:dyDescent="0.3">
      <c r="A14" s="99" t="s">
        <v>9</v>
      </c>
      <c r="B14" s="74"/>
      <c r="C14" s="74"/>
      <c r="D14" s="74"/>
      <c r="E14" s="74"/>
      <c r="F14" s="74"/>
      <c r="G14" s="74"/>
    </row>
    <row r="15" spans="1:7" ht="18" customHeight="1" x14ac:dyDescent="0.3">
      <c r="A15" s="83" t="s">
        <v>10</v>
      </c>
      <c r="B15" s="83" t="s">
        <v>11</v>
      </c>
      <c r="C15" s="83" t="s">
        <v>12</v>
      </c>
      <c r="D15" s="83" t="s">
        <v>13</v>
      </c>
      <c r="E15" s="74"/>
      <c r="F15" s="74"/>
      <c r="G15" s="74"/>
    </row>
    <row r="16" spans="1:7" ht="18" customHeight="1" x14ac:dyDescent="0.3">
      <c r="A16" s="74" t="s">
        <v>3</v>
      </c>
      <c r="B16" s="77">
        <f>Ratios!D9</f>
        <v>0.31658112346735101</v>
      </c>
      <c r="C16" s="77">
        <f>Ratios!D10</f>
        <v>0.53474178403755868</v>
      </c>
      <c r="D16" s="77">
        <f t="shared" ref="D16:D21" si="0">C16-B16</f>
        <v>0.21816066057020767</v>
      </c>
      <c r="E16" s="74"/>
      <c r="F16" s="74"/>
      <c r="G16" s="74"/>
    </row>
    <row r="17" spans="1:7" ht="18" customHeight="1" x14ac:dyDescent="0.3">
      <c r="A17" s="74" t="s">
        <v>14</v>
      </c>
      <c r="B17" s="76">
        <f>Ratios!B96</f>
        <v>-3.4312482147957728</v>
      </c>
      <c r="C17" s="76">
        <f>Ratios!B97</f>
        <v>-1.1403176542455711</v>
      </c>
      <c r="D17" s="76">
        <f t="shared" si="0"/>
        <v>2.2909305605502017</v>
      </c>
      <c r="E17" s="74"/>
      <c r="F17" s="74"/>
      <c r="G17" s="74"/>
    </row>
    <row r="18" spans="1:7" ht="18" customHeight="1" x14ac:dyDescent="0.3">
      <c r="A18" s="74" t="s">
        <v>5</v>
      </c>
      <c r="B18" s="76">
        <f>Ratios!B106</f>
        <v>-28.738755980861242</v>
      </c>
      <c r="C18" s="76">
        <f>Ratios!B107</f>
        <v>-29.121684867394695</v>
      </c>
      <c r="D18" s="76">
        <f t="shared" si="0"/>
        <v>-0.38292888653345258</v>
      </c>
      <c r="E18" s="74"/>
      <c r="F18" s="74"/>
      <c r="G18" s="74"/>
    </row>
    <row r="19" spans="1:7" ht="18" customHeight="1" x14ac:dyDescent="0.3">
      <c r="A19" s="74" t="s">
        <v>6</v>
      </c>
      <c r="B19" s="76">
        <f>Ratios!B50</f>
        <v>0.49180234218794633</v>
      </c>
      <c r="C19" s="76">
        <f>Ratios!B51</f>
        <v>0.63194868662186932</v>
      </c>
      <c r="D19" s="76">
        <f t="shared" si="0"/>
        <v>0.14014634443392299</v>
      </c>
      <c r="E19" s="74"/>
      <c r="F19" s="74"/>
      <c r="G19" s="74"/>
    </row>
    <row r="20" spans="1:7" ht="18" customHeight="1" x14ac:dyDescent="0.3">
      <c r="A20" s="74" t="s">
        <v>7</v>
      </c>
      <c r="B20" s="77">
        <f>Distress_Models!F16</f>
        <v>-5.9068497461871559</v>
      </c>
      <c r="C20" s="77">
        <f>Distress_Models!G16</f>
        <v>-3.7728406451933862</v>
      </c>
      <c r="D20" s="77">
        <f t="shared" si="0"/>
        <v>2.1340091009937696</v>
      </c>
      <c r="E20" s="74"/>
      <c r="F20" s="74"/>
      <c r="G20" s="74"/>
    </row>
    <row r="21" spans="1:7" ht="18" customHeight="1" x14ac:dyDescent="0.3">
      <c r="A21" s="74" t="s">
        <v>15</v>
      </c>
      <c r="B21" s="76">
        <f>Ratios!B84</f>
        <v>-0.32103476843314893</v>
      </c>
      <c r="C21" s="76">
        <f>Ratios!B85</f>
        <v>-9.3112925672271626E-2</v>
      </c>
      <c r="D21" s="76">
        <f t="shared" si="0"/>
        <v>0.22792184276087729</v>
      </c>
      <c r="E21" s="74"/>
      <c r="F21" s="74"/>
      <c r="G21" s="74"/>
    </row>
    <row r="22" spans="1:7" ht="18" customHeight="1" x14ac:dyDescent="0.3">
      <c r="A22" s="74"/>
      <c r="B22" s="74"/>
      <c r="C22" s="74"/>
      <c r="D22" s="74"/>
      <c r="E22" s="74"/>
      <c r="F22" s="74"/>
      <c r="G22" s="74"/>
    </row>
    <row r="23" spans="1:7" ht="18" customHeight="1" x14ac:dyDescent="0.3">
      <c r="A23" s="74"/>
      <c r="B23" s="74"/>
      <c r="C23" s="74"/>
      <c r="D23" s="74"/>
      <c r="E23" s="74"/>
      <c r="F23" s="74"/>
      <c r="G23" s="74"/>
    </row>
  </sheetData>
  <mergeCells count="1">
    <mergeCell ref="A2:G2"/>
  </mergeCells>
  <conditionalFormatting sqref="C16:C21">
    <cfRule type="cellIs" dxfId="1" priority="2" operator="lessThan">
      <formula>0</formula>
    </cfRule>
    <cfRule type="cellIs" dxfId="0" priority="3" operator="greaterThanOrEqual">
      <formula>0</formula>
    </cfRule>
  </conditionalFormatting>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Income Statement</vt:lpstr>
      <vt:lpstr>Financial Position</vt:lpstr>
      <vt:lpstr>Cash Flow</vt:lpstr>
      <vt:lpstr>Ratios</vt:lpstr>
      <vt:lpstr>RedFlags_Timeline</vt:lpstr>
      <vt:lpstr>Distress_Models</vt:lpstr>
      <vt:lpstr>KPI's</vt:lpstr>
      <vt:lpstr>SharePrice_Data</vt:lpstr>
      <vt:lpstr>Forecast_5Y</vt:lpstr>
      <vt:lpstr>Valuation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Sibongile Shange</cp:lastModifiedBy>
  <cp:revision>2</cp:revision>
  <dcterms:created xsi:type="dcterms:W3CDTF">2026-08-17T09:48:16Z</dcterms:created>
  <dcterms:modified xsi:type="dcterms:W3CDTF">2026-08-21T06:02:41Z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0x0101006466D13944EB0449927A505747A211F0</vt:lpwstr>
  </property>
  <property fmtid="{D5CDD505-2E9C-101B-9397-08002B2CF9AE}" pid="3" name="MediaServiceImageTags">
    <vt:lpwstr/>
  </property>
</Properties>
</file>